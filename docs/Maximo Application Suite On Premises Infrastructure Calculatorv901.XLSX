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cottcampbell/Documents/GTM Maximo/"/>
    </mc:Choice>
  </mc:AlternateContent>
  <xr:revisionPtr revIDLastSave="0" documentId="13_ncr:1_{60BB234F-C04A-4E4F-81F2-237DEE76A855}" xr6:coauthVersionLast="47" xr6:coauthVersionMax="47" xr10:uidLastSave="{00000000-0000-0000-0000-000000000000}"/>
  <bookViews>
    <workbookView xWindow="0" yWindow="500" windowWidth="28800" windowHeight="15840" xr2:uid="{BE43DAD7-7525-4C43-8434-649D77803DED}"/>
  </bookViews>
  <sheets>
    <sheet name="V9 Calculator" sheetId="1" r:id="rId1"/>
    <sheet name="Production Detailed Report" sheetId="3" r:id="rId2"/>
    <sheet name="Development Detailed Report" sheetId="6" r:id="rId3"/>
    <sheet name="Predict Data Points" sheetId="2" r:id="rId4"/>
    <sheet name="Data Source" sheetId="5" state="hidden" r:id="rId5"/>
    <sheet name="Versions" sheetId="4" r:id="rId6"/>
  </sheets>
  <definedNames>
    <definedName name="EnvironmentSizes">'V9 Calculator'!$L$18:$L$25</definedName>
    <definedName name="MASData">'Data Source'!$A$28:$G$144</definedName>
    <definedName name="_xlnm.Print_Area" localSheetId="3">'Predict Data Points'!$C$1:$E$27</definedName>
    <definedName name="_xlnm.Print_Area" localSheetId="1">'Production Detailed Report'!$B$2:$L$68</definedName>
    <definedName name="_xlnm.Print_Area" localSheetId="0">'V9 Calculator'!$L$17:$Q$92</definedName>
    <definedName name="_xlnm.Print_Area" localSheetId="5">Versions!$B$1:$C$12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5" i="1" l="1"/>
  <c r="L31" i="1"/>
  <c r="N14" i="3"/>
  <c r="N12" i="3"/>
  <c r="B26" i="1"/>
  <c r="K13" i="5" l="1"/>
  <c r="D143" i="5"/>
  <c r="A89" i="5"/>
  <c r="A88" i="5"/>
  <c r="A87" i="5"/>
  <c r="A86" i="5"/>
  <c r="A85" i="5"/>
  <c r="A84" i="5"/>
  <c r="I22" i="1"/>
  <c r="P21" i="5"/>
  <c r="X21" i="5"/>
  <c r="O23" i="5"/>
  <c r="T29" i="5" l="1"/>
  <c r="L67" i="1"/>
  <c r="B2" i="3"/>
  <c r="L14" i="1"/>
  <c r="K21" i="6"/>
  <c r="J21" i="6"/>
  <c r="I21" i="6"/>
  <c r="H21" i="6"/>
  <c r="K16" i="5"/>
  <c r="K17" i="5"/>
  <c r="J17" i="5"/>
  <c r="J16" i="5"/>
  <c r="L32" i="1"/>
  <c r="I17" i="5"/>
  <c r="I16" i="5"/>
  <c r="H30" i="1"/>
  <c r="H31" i="1"/>
  <c r="I31" i="1"/>
  <c r="J31" i="1"/>
  <c r="M16" i="5" l="1"/>
  <c r="M17" i="5"/>
  <c r="B12" i="3"/>
  <c r="B32" i="3" s="1"/>
  <c r="B52" i="3" s="1"/>
  <c r="L22" i="1"/>
  <c r="A80" i="5" l="1"/>
  <c r="A79" i="5"/>
  <c r="A78" i="5"/>
  <c r="A77" i="5"/>
  <c r="A76" i="5"/>
  <c r="D140" i="5" l="1"/>
  <c r="C140" i="5"/>
  <c r="B140" i="5"/>
  <c r="O73" i="1" l="1"/>
  <c r="O76" i="1" s="1"/>
  <c r="I21" i="1"/>
  <c r="B26" i="5"/>
  <c r="B25" i="5"/>
  <c r="C26" i="5" l="1"/>
  <c r="B17" i="5" l="1"/>
  <c r="B16" i="5"/>
  <c r="B15" i="5"/>
  <c r="N16" i="3" l="1"/>
  <c r="N10" i="3"/>
  <c r="N11" i="3"/>
  <c r="N13" i="3"/>
  <c r="N15" i="3"/>
  <c r="N9" i="3"/>
  <c r="J6" i="3"/>
  <c r="J26" i="3" s="1"/>
  <c r="J46" i="3" s="1"/>
  <c r="J69" i="3" s="1"/>
  <c r="I6" i="3"/>
  <c r="I26" i="3" s="1"/>
  <c r="I46" i="3" s="1"/>
  <c r="I69" i="3" s="1"/>
  <c r="H6" i="3"/>
  <c r="H26" i="3" s="1"/>
  <c r="H46" i="3" s="1"/>
  <c r="H69" i="3" s="1"/>
  <c r="G6" i="3"/>
  <c r="G26" i="3" s="1"/>
  <c r="G46" i="3" s="1"/>
  <c r="G69" i="3" s="1"/>
  <c r="F6" i="3"/>
  <c r="F26" i="3" s="1"/>
  <c r="F46" i="3" s="1"/>
  <c r="F69" i="3" s="1"/>
  <c r="E6" i="3"/>
  <c r="E26" i="3" s="1"/>
  <c r="E46" i="3" s="1"/>
  <c r="E69" i="3" s="1"/>
  <c r="D6" i="3"/>
  <c r="D26" i="3" s="1"/>
  <c r="D46" i="3" s="1"/>
  <c r="D69" i="3" s="1"/>
  <c r="B29" i="1"/>
  <c r="O89" i="1"/>
  <c r="O91" i="1" s="1"/>
  <c r="L43" i="1"/>
  <c r="M43" i="1" s="1"/>
  <c r="M86" i="1" l="1"/>
  <c r="M91" i="1"/>
  <c r="M90" i="1"/>
  <c r="B22" i="3"/>
  <c r="B42" i="3" s="1"/>
  <c r="B63" i="3" s="1"/>
  <c r="M87" i="1"/>
  <c r="M88" i="1"/>
  <c r="M89" i="1"/>
  <c r="B23" i="1" l="1"/>
  <c r="M84" i="1" s="1"/>
  <c r="M78" i="1" l="1"/>
  <c r="M75" i="1"/>
  <c r="M81" i="1"/>
  <c r="M83" i="1"/>
  <c r="M80" i="1"/>
  <c r="M82" i="1"/>
  <c r="M79" i="1"/>
  <c r="P75" i="1"/>
  <c r="B11" i="3"/>
  <c r="B31" i="3" s="1"/>
  <c r="B51" i="3" s="1"/>
  <c r="M44" i="5"/>
  <c r="M43" i="5"/>
  <c r="L41" i="1"/>
  <c r="B20" i="3" s="1"/>
  <c r="B40" i="3" s="1"/>
  <c r="B61" i="3" s="1"/>
  <c r="L50" i="1"/>
  <c r="M50" i="1"/>
  <c r="C4" i="6"/>
  <c r="A29" i="5"/>
  <c r="L19" i="1"/>
  <c r="L18" i="1"/>
  <c r="B2" i="5"/>
  <c r="A122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P7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1" i="5"/>
  <c r="A120" i="5"/>
  <c r="A107" i="5"/>
  <c r="A106" i="5"/>
  <c r="A105" i="5"/>
  <c r="A104" i="5"/>
  <c r="A103" i="5"/>
  <c r="A102" i="5"/>
  <c r="A95" i="5"/>
  <c r="A94" i="5"/>
  <c r="A93" i="5"/>
  <c r="A92" i="5"/>
  <c r="A91" i="5"/>
  <c r="A90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3" i="5"/>
  <c r="A31" i="5"/>
  <c r="A34" i="5"/>
  <c r="P22" i="5"/>
  <c r="L25" i="1" s="1"/>
  <c r="P15" i="5"/>
  <c r="P14" i="5"/>
  <c r="L23" i="1" s="1"/>
  <c r="I5" i="3" s="1"/>
  <c r="P19" i="5"/>
  <c r="M46" i="5"/>
  <c r="M47" i="5"/>
  <c r="M45" i="5"/>
  <c r="C14" i="5"/>
  <c r="A32" i="5"/>
  <c r="A30" i="5"/>
  <c r="X22" i="5"/>
  <c r="K6" i="3"/>
  <c r="K26" i="3" s="1"/>
  <c r="K46" i="3" s="1"/>
  <c r="K69" i="3" s="1"/>
  <c r="B101" i="5"/>
  <c r="E74" i="5"/>
  <c r="D74" i="5"/>
  <c r="C74" i="5"/>
  <c r="B74" i="5"/>
  <c r="E68" i="5"/>
  <c r="D68" i="5"/>
  <c r="C68" i="5"/>
  <c r="B68" i="5"/>
  <c r="D62" i="5"/>
  <c r="C62" i="5"/>
  <c r="B62" i="5"/>
  <c r="D56" i="5"/>
  <c r="C56" i="5"/>
  <c r="B56" i="5"/>
  <c r="D50" i="5"/>
  <c r="C50" i="5"/>
  <c r="B50" i="5"/>
  <c r="D44" i="5"/>
  <c r="C44" i="5"/>
  <c r="B44" i="5"/>
  <c r="C38" i="5"/>
  <c r="B38" i="5"/>
  <c r="C137" i="5"/>
  <c r="B137" i="5"/>
  <c r="D131" i="5"/>
  <c r="C131" i="5"/>
  <c r="B131" i="5"/>
  <c r="D125" i="5"/>
  <c r="C125" i="5"/>
  <c r="B125" i="5"/>
  <c r="C119" i="5"/>
  <c r="B119" i="5"/>
  <c r="C113" i="5"/>
  <c r="B113" i="5"/>
  <c r="D107" i="5"/>
  <c r="B107" i="5"/>
  <c r="E95" i="5"/>
  <c r="C95" i="5"/>
  <c r="B95" i="5"/>
  <c r="B89" i="5"/>
  <c r="C89" i="5"/>
  <c r="B4" i="5"/>
  <c r="B20" i="5" s="1"/>
  <c r="B21" i="5" s="1"/>
  <c r="B3" i="5"/>
  <c r="P37" i="5"/>
  <c r="P38" i="5"/>
  <c r="P39" i="5"/>
  <c r="P36" i="5"/>
  <c r="O40" i="5"/>
  <c r="N37" i="5"/>
  <c r="N38" i="5"/>
  <c r="N39" i="5"/>
  <c r="N36" i="5"/>
  <c r="N31" i="5"/>
  <c r="N32" i="5"/>
  <c r="N33" i="5"/>
  <c r="N30" i="5"/>
  <c r="L40" i="5"/>
  <c r="D32" i="5"/>
  <c r="D30" i="5"/>
  <c r="L34" i="5"/>
  <c r="N34" i="5" s="1"/>
  <c r="K5" i="3" l="1"/>
  <c r="B32" i="6"/>
  <c r="B30" i="6"/>
  <c r="L20" i="1"/>
  <c r="F5" i="3" s="1"/>
  <c r="Q36" i="5"/>
  <c r="C7" i="5"/>
  <c r="B18" i="5"/>
  <c r="C5" i="5" s="1"/>
  <c r="D6" i="5" s="1"/>
  <c r="K10" i="5"/>
  <c r="C12" i="5" s="1"/>
  <c r="K12" i="5"/>
  <c r="C10" i="5" s="1"/>
  <c r="K11" i="5"/>
  <c r="C11" i="5" s="1"/>
  <c r="L24" i="1"/>
  <c r="J5" i="3" s="1"/>
  <c r="H5" i="3"/>
  <c r="D5" i="3"/>
  <c r="L44" i="5"/>
  <c r="P43" i="1"/>
  <c r="O43" i="1"/>
  <c r="D63" i="3" s="1"/>
  <c r="D22" i="3"/>
  <c r="N43" i="1"/>
  <c r="D42" i="3" s="1"/>
  <c r="B38" i="6"/>
  <c r="H14" i="6"/>
  <c r="B14" i="6" s="1"/>
  <c r="H11" i="6"/>
  <c r="B11" i="6" s="1"/>
  <c r="H9" i="6"/>
  <c r="H13" i="6"/>
  <c r="H8" i="6"/>
  <c r="H7" i="6"/>
  <c r="H12" i="6"/>
  <c r="B12" i="6" s="1"/>
  <c r="H10" i="6"/>
  <c r="B22" i="6" s="1"/>
  <c r="E5" i="3"/>
  <c r="B19" i="5"/>
  <c r="H5" i="5" s="1"/>
  <c r="J8" i="5" s="1"/>
  <c r="Q40" i="5"/>
  <c r="Q39" i="5"/>
  <c r="Q41" i="5"/>
  <c r="Q42" i="5"/>
  <c r="L35" i="1"/>
  <c r="B15" i="3" s="1"/>
  <c r="B35" i="3" s="1"/>
  <c r="B55" i="3" s="1"/>
  <c r="L30" i="1"/>
  <c r="B10" i="3" s="1"/>
  <c r="L36" i="1"/>
  <c r="B16" i="3" s="1"/>
  <c r="D7" i="5"/>
  <c r="P40" i="5"/>
  <c r="P41" i="5" s="1"/>
  <c r="B13" i="5" s="1"/>
  <c r="N40" i="5"/>
  <c r="N41" i="5" s="1"/>
  <c r="B12" i="5" s="1"/>
  <c r="N35" i="5"/>
  <c r="B10" i="5" s="1"/>
  <c r="B11" i="5" s="1"/>
  <c r="J34" i="5"/>
  <c r="J33" i="5"/>
  <c r="J32" i="5"/>
  <c r="J31" i="5"/>
  <c r="J30" i="5"/>
  <c r="J40" i="5"/>
  <c r="J39" i="5"/>
  <c r="J38" i="5"/>
  <c r="J37" i="5"/>
  <c r="J36" i="5"/>
  <c r="A101" i="5"/>
  <c r="A100" i="5"/>
  <c r="A99" i="5"/>
  <c r="A98" i="5"/>
  <c r="A97" i="5"/>
  <c r="N41" i="1" s="1"/>
  <c r="D40" i="3" s="1"/>
  <c r="A96" i="5"/>
  <c r="B18" i="6" l="1"/>
  <c r="B8" i="6"/>
  <c r="E11" i="6"/>
  <c r="D11" i="6"/>
  <c r="C11" i="6"/>
  <c r="C32" i="6"/>
  <c r="G11" i="5"/>
  <c r="O22" i="1"/>
  <c r="G13" i="5"/>
  <c r="O32" i="1"/>
  <c r="D52" i="3" s="1"/>
  <c r="P32" i="1"/>
  <c r="E6" i="5"/>
  <c r="G6" i="5"/>
  <c r="D11" i="5"/>
  <c r="E11" i="5"/>
  <c r="E13" i="5"/>
  <c r="D13" i="5"/>
  <c r="B23" i="5"/>
  <c r="B24" i="5" s="1"/>
  <c r="M41" i="1"/>
  <c r="D20" i="3" s="1"/>
  <c r="P41" i="1"/>
  <c r="M23" i="1"/>
  <c r="O41" i="1"/>
  <c r="D61" i="3" s="1"/>
  <c r="B21" i="6"/>
  <c r="F21" i="6" s="1"/>
  <c r="H70" i="3"/>
  <c r="I47" i="3"/>
  <c r="N23" i="1"/>
  <c r="P23" i="1"/>
  <c r="M20" i="1"/>
  <c r="P31" i="1"/>
  <c r="G8" i="5"/>
  <c r="I7" i="3"/>
  <c r="I70" i="3"/>
  <c r="O23" i="1"/>
  <c r="O31" i="1"/>
  <c r="D51" i="3" s="1"/>
  <c r="I27" i="3"/>
  <c r="B13" i="6"/>
  <c r="B25" i="6"/>
  <c r="B9" i="6"/>
  <c r="D9" i="6" s="1"/>
  <c r="B24" i="6"/>
  <c r="B19" i="6"/>
  <c r="B10" i="6"/>
  <c r="B23" i="6"/>
  <c r="B20" i="6"/>
  <c r="B26" i="6"/>
  <c r="E26" i="6" s="1"/>
  <c r="E8" i="6"/>
  <c r="D8" i="6"/>
  <c r="C8" i="6"/>
  <c r="B7" i="6"/>
  <c r="C7" i="6" s="1"/>
  <c r="O25" i="1"/>
  <c r="J70" i="3"/>
  <c r="O18" i="1"/>
  <c r="O24" i="1"/>
  <c r="K7" i="3"/>
  <c r="H47" i="3"/>
  <c r="F70" i="3"/>
  <c r="M25" i="1"/>
  <c r="J7" i="3"/>
  <c r="O19" i="1"/>
  <c r="M24" i="1"/>
  <c r="K47" i="3"/>
  <c r="F47" i="3"/>
  <c r="K70" i="3"/>
  <c r="J27" i="3"/>
  <c r="N24" i="1"/>
  <c r="K27" i="3"/>
  <c r="F27" i="3"/>
  <c r="N20" i="1"/>
  <c r="D70" i="3"/>
  <c r="O20" i="1"/>
  <c r="F7" i="3"/>
  <c r="D47" i="3"/>
  <c r="N25" i="1"/>
  <c r="J47" i="3"/>
  <c r="E47" i="3"/>
  <c r="E70" i="3"/>
  <c r="F10" i="3"/>
  <c r="B30" i="3"/>
  <c r="J16" i="3"/>
  <c r="B36" i="3"/>
  <c r="E8" i="5"/>
  <c r="D8" i="5"/>
  <c r="N36" i="1"/>
  <c r="M36" i="1"/>
  <c r="O36" i="1"/>
  <c r="J56" i="3" s="1"/>
  <c r="E14" i="6"/>
  <c r="C14" i="6"/>
  <c r="D14" i="6"/>
  <c r="P30" i="1"/>
  <c r="O30" i="1"/>
  <c r="N30" i="1"/>
  <c r="M30" i="1"/>
  <c r="O35" i="1"/>
  <c r="M35" i="1"/>
  <c r="F15" i="3" s="1"/>
  <c r="N35" i="1"/>
  <c r="F35" i="3" s="1"/>
  <c r="F30" i="6"/>
  <c r="D30" i="6"/>
  <c r="C30" i="6"/>
  <c r="E30" i="6"/>
  <c r="D12" i="6"/>
  <c r="F12" i="6"/>
  <c r="F15" i="6" s="1"/>
  <c r="G36" i="6" s="1"/>
  <c r="G38" i="6" s="1"/>
  <c r="Q52" i="1" s="1"/>
  <c r="E12" i="6"/>
  <c r="C12" i="6"/>
  <c r="I6" i="5"/>
  <c r="L6" i="5"/>
  <c r="J6" i="5"/>
  <c r="L8" i="5"/>
  <c r="I8" i="5"/>
  <c r="X18" i="5"/>
  <c r="X17" i="5"/>
  <c r="X16" i="5"/>
  <c r="X15" i="5"/>
  <c r="X14" i="5"/>
  <c r="X13" i="5"/>
  <c r="X12" i="5"/>
  <c r="U12" i="5"/>
  <c r="T12" i="5" s="1"/>
  <c r="X11" i="5"/>
  <c r="X10" i="5"/>
  <c r="X9" i="5"/>
  <c r="X8" i="5"/>
  <c r="X7" i="5"/>
  <c r="X6" i="5"/>
  <c r="D15" i="5"/>
  <c r="D13" i="6" l="1"/>
  <c r="D32" i="6"/>
  <c r="B37" i="1"/>
  <c r="B60" i="1" s="1"/>
  <c r="B83" i="5"/>
  <c r="M31" i="1" s="1"/>
  <c r="D11" i="3" s="1"/>
  <c r="E143" i="5"/>
  <c r="B143" i="5"/>
  <c r="M22" i="1" s="1"/>
  <c r="C143" i="5"/>
  <c r="N22" i="1" s="1"/>
  <c r="E89" i="5"/>
  <c r="E88" i="5"/>
  <c r="E85" i="5"/>
  <c r="E87" i="5"/>
  <c r="E86" i="5"/>
  <c r="E21" i="6"/>
  <c r="Q35" i="5"/>
  <c r="L29" i="1"/>
  <c r="B9" i="3" s="1"/>
  <c r="B29" i="3" s="1"/>
  <c r="B49" i="3" s="1"/>
  <c r="F19" i="6"/>
  <c r="B38" i="1"/>
  <c r="P61" i="1" s="1"/>
  <c r="E13" i="6"/>
  <c r="C13" i="6"/>
  <c r="E32" i="5"/>
  <c r="C9" i="6"/>
  <c r="E9" i="6"/>
  <c r="D7" i="6"/>
  <c r="E20" i="6"/>
  <c r="F20" i="6"/>
  <c r="E7" i="6"/>
  <c r="D26" i="6"/>
  <c r="F26" i="6"/>
  <c r="C26" i="6"/>
  <c r="F50" i="3"/>
  <c r="E19" i="6"/>
  <c r="C19" i="6"/>
  <c r="D19" i="6"/>
  <c r="J36" i="3"/>
  <c r="B56" i="3"/>
  <c r="F30" i="3"/>
  <c r="B50" i="3"/>
  <c r="D24" i="6"/>
  <c r="C24" i="6"/>
  <c r="F24" i="6"/>
  <c r="E24" i="6"/>
  <c r="F25" i="6"/>
  <c r="D25" i="6"/>
  <c r="C25" i="6"/>
  <c r="E25" i="6"/>
  <c r="P6" i="5"/>
  <c r="P9" i="5"/>
  <c r="Q37" i="5" s="1"/>
  <c r="E30" i="5"/>
  <c r="E15" i="5"/>
  <c r="C83" i="5" s="1"/>
  <c r="N31" i="1" s="1"/>
  <c r="C20" i="6" l="1"/>
  <c r="D20" i="6"/>
  <c r="H7" i="3"/>
  <c r="H27" i="3"/>
  <c r="D31" i="3"/>
  <c r="M29" i="1"/>
  <c r="H9" i="3" s="1"/>
  <c r="N29" i="1"/>
  <c r="H29" i="3" s="1"/>
  <c r="P29" i="1"/>
  <c r="O29" i="1"/>
  <c r="C32" i="5"/>
  <c r="E27" i="3" s="1"/>
  <c r="B32" i="5"/>
  <c r="M19" i="1" s="1"/>
  <c r="C30" i="5"/>
  <c r="D27" i="3" s="1"/>
  <c r="B30" i="5"/>
  <c r="F18" i="6" l="1"/>
  <c r="H49" i="3"/>
  <c r="D18" i="6"/>
  <c r="B43" i="1" s="1"/>
  <c r="P62" i="1" s="1"/>
  <c r="C18" i="6"/>
  <c r="B42" i="1" s="1"/>
  <c r="E18" i="6"/>
  <c r="B44" i="1"/>
  <c r="D49" i="3"/>
  <c r="E49" i="3"/>
  <c r="D29" i="3"/>
  <c r="E29" i="3"/>
  <c r="D9" i="3"/>
  <c r="E9" i="3"/>
  <c r="M18" i="1"/>
  <c r="D7" i="3"/>
  <c r="N18" i="1"/>
  <c r="E7" i="3"/>
  <c r="N19" i="1"/>
  <c r="B62" i="1" l="1"/>
  <c r="L58" i="3"/>
  <c r="L67" i="3" s="1"/>
  <c r="N62" i="1"/>
  <c r="L62" i="1" s="1"/>
  <c r="O62" i="1"/>
  <c r="L66" i="1" l="1"/>
  <c r="B52" i="1"/>
  <c r="O81" i="1"/>
  <c r="O61" i="1" l="1"/>
  <c r="O84" i="1"/>
  <c r="M70" i="1"/>
  <c r="N20" i="2" l="1"/>
  <c r="N15" i="2"/>
  <c r="N21" i="2" s="1"/>
  <c r="N14" i="2"/>
  <c r="D20" i="2"/>
  <c r="D15" i="2"/>
  <c r="F18" i="2" l="1"/>
  <c r="F8" i="2"/>
  <c r="F10" i="2" s="1"/>
  <c r="G20" i="2"/>
  <c r="G8" i="2"/>
  <c r="G7" i="2"/>
  <c r="I7" i="2" s="1"/>
  <c r="D14" i="2" l="1"/>
  <c r="D21" i="2" l="1"/>
  <c r="D23" i="2" l="1"/>
  <c r="H21" i="1"/>
  <c r="P11" i="5"/>
  <c r="P26" i="1"/>
  <c r="Q15" i="1" l="1"/>
  <c r="Q51" i="5"/>
  <c r="R51" i="5" s="1"/>
  <c r="S51" i="5" s="1"/>
  <c r="L33" i="1" s="1"/>
  <c r="L21" i="1"/>
  <c r="Q48" i="1"/>
  <c r="L34" i="1"/>
  <c r="Q38" i="5"/>
  <c r="R35" i="5" s="1"/>
  <c r="T35" i="5" s="1"/>
  <c r="C138" i="5" l="1"/>
  <c r="E26" i="5" s="1"/>
  <c r="N16" i="1" s="1"/>
  <c r="D138" i="5"/>
  <c r="F26" i="5" s="1"/>
  <c r="O16" i="1" s="1"/>
  <c r="B138" i="5"/>
  <c r="D26" i="5" s="1"/>
  <c r="B13" i="3"/>
  <c r="B33" i="3" s="1"/>
  <c r="B53" i="3" s="1"/>
  <c r="G5" i="3"/>
  <c r="G70" i="3" s="1"/>
  <c r="L70" i="3" s="1"/>
  <c r="S35" i="5"/>
  <c r="L42" i="1" s="1"/>
  <c r="B31" i="6" s="1"/>
  <c r="C23" i="6"/>
  <c r="B14" i="3"/>
  <c r="B34" i="3" s="1"/>
  <c r="B54" i="3" s="1"/>
  <c r="F22" i="6"/>
  <c r="O21" i="1"/>
  <c r="N21" i="1"/>
  <c r="M21" i="1"/>
  <c r="Q55" i="1"/>
  <c r="B34" i="1" s="1"/>
  <c r="Q60" i="1" s="1"/>
  <c r="N61" i="1" l="1"/>
  <c r="B51" i="1" s="1"/>
  <c r="G47" i="3"/>
  <c r="L47" i="3" s="1"/>
  <c r="G7" i="3"/>
  <c r="L7" i="3" s="1"/>
  <c r="G27" i="3"/>
  <c r="L27" i="3" s="1"/>
  <c r="M16" i="1"/>
  <c r="L59" i="1"/>
  <c r="L40" i="1"/>
  <c r="B21" i="3"/>
  <c r="B41" i="3" s="1"/>
  <c r="B62" i="3" s="1"/>
  <c r="N42" i="1"/>
  <c r="D41" i="3" s="1"/>
  <c r="P42" i="1"/>
  <c r="O42" i="1"/>
  <c r="D62" i="3" s="1"/>
  <c r="M42" i="1"/>
  <c r="D21" i="3" s="1"/>
  <c r="D23" i="6"/>
  <c r="E23" i="6"/>
  <c r="F23" i="6"/>
  <c r="F27" i="6" s="1"/>
  <c r="E22" i="6"/>
  <c r="C22" i="6"/>
  <c r="D22" i="6"/>
  <c r="B39" i="1"/>
  <c r="E10" i="6"/>
  <c r="E15" i="6" s="1"/>
  <c r="D10" i="6"/>
  <c r="D15" i="6" s="1"/>
  <c r="C10" i="6"/>
  <c r="C15" i="6" s="1"/>
  <c r="M34" i="1"/>
  <c r="G14" i="3" s="1"/>
  <c r="M33" i="1"/>
  <c r="G13" i="3" s="1"/>
  <c r="N33" i="1"/>
  <c r="N34" i="1"/>
  <c r="G34" i="3" s="1"/>
  <c r="O34" i="1"/>
  <c r="G54" i="3" s="1"/>
  <c r="O33" i="1"/>
  <c r="M26" i="1"/>
  <c r="Q61" i="1" l="1"/>
  <c r="L61" i="1"/>
  <c r="B19" i="3"/>
  <c r="B39" i="3" s="1"/>
  <c r="B60" i="3" s="1"/>
  <c r="N40" i="1"/>
  <c r="D39" i="3" s="1"/>
  <c r="L43" i="3" s="1"/>
  <c r="M40" i="1"/>
  <c r="D19" i="3" s="1"/>
  <c r="L23" i="3" s="1"/>
  <c r="P40" i="1"/>
  <c r="P44" i="1" s="1"/>
  <c r="O40" i="1"/>
  <c r="D60" i="3" s="1"/>
  <c r="B47" i="1"/>
  <c r="D31" i="6"/>
  <c r="C31" i="6"/>
  <c r="F31" i="6"/>
  <c r="E31" i="6"/>
  <c r="G53" i="3"/>
  <c r="H53" i="3"/>
  <c r="G33" i="3"/>
  <c r="H33" i="3"/>
  <c r="E27" i="6"/>
  <c r="H13" i="3"/>
  <c r="N44" i="1" l="1"/>
  <c r="O44" i="1"/>
  <c r="M44" i="1"/>
  <c r="L57" i="3"/>
  <c r="N59" i="1"/>
  <c r="F75" i="3" s="1"/>
  <c r="E75" i="3" l="1"/>
  <c r="D75" i="3"/>
  <c r="N26" i="1"/>
  <c r="O26" i="1"/>
  <c r="O37" i="1" l="1"/>
  <c r="P37" i="1"/>
  <c r="F32" i="6" l="1"/>
  <c r="F33" i="6" s="1"/>
  <c r="F36" i="6" s="1"/>
  <c r="F38" i="6" s="1"/>
  <c r="D33" i="6"/>
  <c r="C33" i="6"/>
  <c r="E32" i="6"/>
  <c r="E33" i="6" s="1"/>
  <c r="E36" i="6" s="1"/>
  <c r="E38" i="6" s="1"/>
  <c r="O52" i="1" s="1"/>
  <c r="O48" i="1"/>
  <c r="O15" i="1"/>
  <c r="P48" i="1"/>
  <c r="P15" i="1"/>
  <c r="P52" i="1" l="1"/>
  <c r="P55" i="1" s="1"/>
  <c r="N64" i="1" s="1"/>
  <c r="O55" i="1"/>
  <c r="N63" i="1" s="1"/>
  <c r="L64" i="3" l="1"/>
  <c r="L66" i="3" s="1"/>
  <c r="C141" i="5" l="1"/>
  <c r="D21" i="6" s="1"/>
  <c r="D27" i="6" s="1"/>
  <c r="D36" i="6" s="1"/>
  <c r="D38" i="6" s="1"/>
  <c r="N52" i="1" s="1"/>
  <c r="N32" i="1"/>
  <c r="D32" i="3" s="1"/>
  <c r="L37" i="3" s="1"/>
  <c r="L44" i="3" s="1"/>
  <c r="B141" i="5"/>
  <c r="M32" i="1" l="1"/>
  <c r="M37" i="1" s="1"/>
  <c r="C21" i="6"/>
  <c r="C27" i="6" s="1"/>
  <c r="C36" i="6" s="1"/>
  <c r="C38" i="6" s="1"/>
  <c r="M52" i="1" s="1"/>
  <c r="N37" i="1"/>
  <c r="N14" i="1" l="1"/>
  <c r="N48" i="1" s="1"/>
  <c r="N55" i="1" s="1"/>
  <c r="B33" i="1" s="1"/>
  <c r="P60" i="1" s="1"/>
  <c r="M14" i="1"/>
  <c r="M48" i="1" s="1"/>
  <c r="M55" i="1" s="1"/>
  <c r="B32" i="1" s="1"/>
  <c r="D12" i="3"/>
  <c r="L17" i="3" s="1"/>
  <c r="L24" i="3" s="1"/>
  <c r="N15" i="1" l="1"/>
  <c r="M15" i="1"/>
  <c r="N60" i="1"/>
  <c r="O60" i="1"/>
  <c r="B58" i="1"/>
  <c r="L60" i="1" l="1"/>
  <c r="L65" i="1"/>
  <c r="B50" i="1"/>
  <c r="B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</author>
  </authors>
  <commentList>
    <comment ref="O58" authorId="0" shapeId="0" xr:uid="{BF8B64B5-E9A2-4646-A2F0-6C19B9FE5769}">
      <text>
        <r>
          <rPr>
            <sz val="9"/>
            <color rgb="FF000000"/>
            <rFont val="Tahoma"/>
            <family val="2"/>
          </rPr>
          <t xml:space="preserve">Determines which attribute is driving the node count requirements and highlights the attribute with green background.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P58" authorId="0" shapeId="0" xr:uid="{989303D8-C7BE-4222-8088-75C19FE7292D}">
      <text>
        <r>
          <rPr>
            <sz val="9"/>
            <color rgb="FF000000"/>
            <rFont val="Tahoma"/>
            <family val="2"/>
          </rPr>
          <t>Determines which attribute is driving the node count requirements and highlights the attribute with green background.</t>
        </r>
      </text>
    </comment>
    <comment ref="Q58" authorId="0" shapeId="0" xr:uid="{BEAF8CDE-DF0E-4EDA-9F28-4DC1DFFE90A5}">
      <text>
        <r>
          <rPr>
            <sz val="9"/>
            <color rgb="FF000000"/>
            <rFont val="Tahoma"/>
            <family val="2"/>
          </rPr>
          <t xml:space="preserve">Determines which attribute is driving the node count requirements and highlights the attribute with green background.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</author>
  </authors>
  <commentList>
    <comment ref="A10" authorId="0" shapeId="0" xr:uid="{2B440905-64A0-42D8-A4B1-F2EB51DB9323}">
      <text>
        <r>
          <rPr>
            <b/>
            <sz val="9"/>
            <color rgb="FF000000"/>
            <rFont val="Tahoma"/>
            <family val="2"/>
          </rPr>
          <t>Scott: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Average storage per user from previous the t-shirt calculations.  See table below. Using JVM calculations instead.</t>
        </r>
      </text>
    </comment>
    <comment ref="A12" authorId="0" shapeId="0" xr:uid="{45EB9D16-39A4-4509-9FF5-EBEEA9D3BBD4}">
      <text>
        <r>
          <rPr>
            <b/>
            <sz val="9"/>
            <color rgb="FF000000"/>
            <rFont val="Tahoma"/>
            <family val="2"/>
          </rPr>
          <t>Scott: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Average DB2 storage per Health User based on old t-shirt sizing. See table (J27) for reference. Not using, converting to JVM instead.</t>
        </r>
      </text>
    </comment>
    <comment ref="A13" authorId="0" shapeId="0" xr:uid="{25A06790-525C-4FBE-BFB7-9A53EBE112D8}">
      <text>
        <r>
          <rPr>
            <b/>
            <sz val="9"/>
            <color rgb="FF000000"/>
            <rFont val="Tahoma"/>
            <family val="2"/>
          </rPr>
          <t>Scott: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Average DB2 storage per Health Asset based on old t-shirt sizing. See table (J27) for reference. Not using, converting to JVM instead.</t>
        </r>
      </text>
    </comment>
    <comment ref="A76" authorId="0" shapeId="0" xr:uid="{437B5915-652F-46F9-9716-180BF1069880}">
      <text>
        <r>
          <rPr>
            <b/>
            <sz val="9"/>
            <color rgb="FF000000"/>
            <rFont val="Tahoma"/>
            <family val="2"/>
          </rPr>
          <t>Scott: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Rule: 2 worker node cluster requires at least 4 cores &amp; 16GB memory</t>
        </r>
      </text>
    </comment>
    <comment ref="A83" authorId="0" shapeId="0" xr:uid="{0A381B07-A024-4EF4-96FB-3865848A048E}">
      <text>
        <r>
          <rPr>
            <b/>
            <sz val="9"/>
            <color rgb="FF000000"/>
            <rFont val="Tahoma"/>
            <family val="2"/>
          </rPr>
          <t>Scott: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Manage Only Requirements
</t>
        </r>
        <r>
          <rPr>
            <sz val="9"/>
            <color rgb="FF000000"/>
            <rFont val="Tahoma"/>
            <family val="2"/>
          </rPr>
          <t xml:space="preserve">Non UI JVMs (5 total)
</t>
        </r>
        <r>
          <rPr>
            <sz val="9"/>
            <color rgb="FF000000"/>
            <rFont val="Tahoma"/>
            <family val="2"/>
          </rPr>
          <t xml:space="preserve">Integrations - 3
</t>
        </r>
        <r>
          <rPr>
            <sz val="9"/>
            <color rgb="FF000000"/>
            <rFont val="Tahoma"/>
            <family val="2"/>
          </rPr>
          <t xml:space="preserve">Reporting - 1
</t>
        </r>
        <r>
          <rPr>
            <sz val="9"/>
            <color rgb="FF000000"/>
            <rFont val="Tahoma"/>
            <family val="2"/>
          </rPr>
          <t xml:space="preserve">Crontask - 1
</t>
        </r>
        <r>
          <rPr>
            <sz val="9"/>
            <color rgb="FF000000"/>
            <rFont val="Tahoma"/>
            <family val="2"/>
          </rPr>
          <t>Cluster Wide Settings</t>
        </r>
      </text>
    </comment>
  </commentList>
</comments>
</file>

<file path=xl/sharedStrings.xml><?xml version="1.0" encoding="utf-8"?>
<sst xmlns="http://schemas.openxmlformats.org/spreadsheetml/2006/main" count="539" uniqueCount="317">
  <si>
    <t xml:space="preserve">Calculations </t>
  </si>
  <si>
    <t>Manage</t>
  </si>
  <si>
    <t>Users</t>
  </si>
  <si>
    <t>Use (Y/N)</t>
  </si>
  <si>
    <t>Quantity</t>
  </si>
  <si>
    <t>Size Metric</t>
  </si>
  <si>
    <t>Monitor</t>
  </si>
  <si>
    <t>i/o points</t>
  </si>
  <si>
    <t>Applications</t>
  </si>
  <si>
    <t>Health</t>
  </si>
  <si>
    <t>Predict</t>
  </si>
  <si>
    <t>Y</t>
  </si>
  <si>
    <t>N</t>
  </si>
  <si>
    <t>Memory</t>
  </si>
  <si>
    <t>GPUs</t>
  </si>
  <si>
    <t>Sizing and Quantity Definitions</t>
  </si>
  <si>
    <t>Metric</t>
  </si>
  <si>
    <t>Storage</t>
  </si>
  <si>
    <t>Visual Inspection</t>
  </si>
  <si>
    <t xml:space="preserve">Total Application Quantities:  </t>
  </si>
  <si>
    <t>Assets</t>
  </si>
  <si>
    <t>Primary</t>
  </si>
  <si>
    <t>Kafka</t>
  </si>
  <si>
    <t>Each System Configuration</t>
  </si>
  <si>
    <r>
      <t>Users</t>
    </r>
    <r>
      <rPr>
        <vertAlign val="superscript"/>
        <sz val="12"/>
        <color theme="1"/>
        <rFont val="Calibri (Body)"/>
      </rPr>
      <t>1</t>
    </r>
  </si>
  <si>
    <r>
      <t>i/o points</t>
    </r>
    <r>
      <rPr>
        <vertAlign val="superscript"/>
        <sz val="12"/>
        <color theme="1"/>
        <rFont val="Calibri (Body)"/>
      </rPr>
      <t>2</t>
    </r>
  </si>
  <si>
    <t>Dev</t>
  </si>
  <si>
    <t>Size Ranges -  Up To:</t>
  </si>
  <si>
    <t>Training</t>
  </si>
  <si>
    <t>Number of Groups</t>
  </si>
  <si>
    <t># of Assets per Group</t>
  </si>
  <si>
    <t>Frequency of data collection</t>
  </si>
  <si>
    <t>Frequency of Scoring</t>
  </si>
  <si>
    <t>Records per Day</t>
  </si>
  <si>
    <t># of sensors per asset average</t>
  </si>
  <si>
    <t># of assets</t>
  </si>
  <si>
    <t>Results</t>
  </si>
  <si>
    <t># of Models per Group</t>
  </si>
  <si>
    <t>Times per day</t>
  </si>
  <si>
    <t>Average # of Sensors per Asset</t>
  </si>
  <si>
    <t>Number of lines of data</t>
  </si>
  <si>
    <t>Daily Pre-Aggregation?</t>
  </si>
  <si>
    <t>Years of Retention</t>
  </si>
  <si>
    <r>
      <rPr>
        <vertAlign val="superscript"/>
        <sz val="12"/>
        <color theme="1"/>
        <rFont val="Calibri (Body)"/>
      </rPr>
      <t>1</t>
    </r>
    <r>
      <rPr>
        <b/>
        <sz val="12"/>
        <color theme="1"/>
        <rFont val="Calibri"/>
        <family val="2"/>
        <scheme val="minor"/>
      </rPr>
      <t>Users</t>
    </r>
    <r>
      <rPr>
        <sz val="12"/>
        <color theme="1"/>
        <rFont val="Calibri"/>
        <family val="2"/>
        <scheme val="minor"/>
      </rPr>
      <t xml:space="preserve">:   Users are defined as </t>
    </r>
    <r>
      <rPr>
        <b/>
        <sz val="12"/>
        <color theme="1"/>
        <rFont val="Calibri"/>
        <family val="2"/>
        <scheme val="minor"/>
      </rPr>
      <t>*concurrent*</t>
    </r>
    <r>
      <rPr>
        <sz val="12"/>
        <color theme="1"/>
        <rFont val="Calibri"/>
        <family val="2"/>
        <scheme val="minor"/>
      </rPr>
      <t xml:space="preserve"> users when sizing the infrastructure requirements</t>
    </r>
  </si>
  <si>
    <t>Data points over a 3 year period</t>
  </si>
  <si>
    <r>
      <t>Data Points</t>
    </r>
    <r>
      <rPr>
        <vertAlign val="superscript"/>
        <sz val="12"/>
        <color theme="1"/>
        <rFont val="Calibri (Body)"/>
      </rPr>
      <t>3</t>
    </r>
  </si>
  <si>
    <t>Data Point Calculation</t>
  </si>
  <si>
    <t>Training Data Points</t>
  </si>
  <si>
    <t>Predict Data Point Calculator</t>
  </si>
  <si>
    <t>at most from Monitor</t>
  </si>
  <si>
    <t>Scoring Load</t>
  </si>
  <si>
    <t>Rows per minute</t>
  </si>
  <si>
    <t>matters for trainingin only</t>
  </si>
  <si>
    <t>This is found in Monitor</t>
  </si>
  <si>
    <t>24 lines</t>
  </si>
  <si>
    <t>60,000 sensors</t>
  </si>
  <si>
    <t>Training + Scoring Load</t>
  </si>
  <si>
    <t>60,000  sensors driving data</t>
  </si>
  <si>
    <t>each sensor is a line</t>
  </si>
  <si>
    <t>50 models</t>
  </si>
  <si>
    <t>2000 assets</t>
  </si>
  <si>
    <t>each row is an asset</t>
  </si>
  <si>
    <t>Scoring Total per day across all sensors</t>
  </si>
  <si>
    <t>MongoDB</t>
  </si>
  <si>
    <t>Data Points - Training</t>
  </si>
  <si>
    <t>Scoring Load- Scoring</t>
  </si>
  <si>
    <t>Models</t>
  </si>
  <si>
    <t>Asset Groups</t>
  </si>
  <si>
    <t>Assets Per Group</t>
  </si>
  <si>
    <t>Sensors Per Asset</t>
  </si>
  <si>
    <r>
      <rPr>
        <vertAlign val="superscript"/>
        <sz val="12"/>
        <color theme="1"/>
        <rFont val="Calibri (Body)"/>
      </rPr>
      <t>3</t>
    </r>
    <r>
      <rPr>
        <sz val="12"/>
        <color theme="1"/>
        <rFont val="Calibri"/>
        <family val="2"/>
        <scheme val="minor"/>
      </rPr>
      <t xml:space="preserve">To calculate Predict Data Points, Use the </t>
    </r>
    <r>
      <rPr>
        <b/>
        <sz val="12"/>
        <color theme="1"/>
        <rFont val="Calibri"/>
        <family val="2"/>
        <scheme val="minor"/>
      </rPr>
      <t>"Predict Data Points"</t>
    </r>
    <r>
      <rPr>
        <sz val="12"/>
        <color theme="1"/>
        <rFont val="Calibri"/>
        <family val="2"/>
        <scheme val="minor"/>
      </rPr>
      <t xml:space="preserve"> tab</t>
    </r>
  </si>
  <si>
    <t>TOTALS</t>
  </si>
  <si>
    <t>Total Qty</t>
  </si>
  <si>
    <t>Version</t>
  </si>
  <si>
    <t>Updates</t>
  </si>
  <si>
    <t>Assist</t>
  </si>
  <si>
    <t>Safety</t>
  </si>
  <si>
    <t>Documents</t>
  </si>
  <si>
    <t>CouchDB</t>
  </si>
  <si>
    <t>Watson Discovery</t>
  </si>
  <si>
    <t>Workers Monitored</t>
  </si>
  <si>
    <t>H &amp; P - Utilities</t>
  </si>
  <si>
    <t>Asset Classes</t>
  </si>
  <si>
    <t>n/a</t>
  </si>
  <si>
    <t>System Quantity</t>
  </si>
  <si>
    <t>File Storage</t>
  </si>
  <si>
    <t>DB Storage</t>
  </si>
  <si>
    <t>Optimizer</t>
  </si>
  <si>
    <t>User Calculation</t>
  </si>
  <si>
    <t>JVM Calculation</t>
  </si>
  <si>
    <t>JVMs</t>
  </si>
  <si>
    <t>Users per JVM</t>
  </si>
  <si>
    <t>Memory to Add to Final</t>
  </si>
  <si>
    <t>Integrations</t>
  </si>
  <si>
    <t>Reporting</t>
  </si>
  <si>
    <t>Name</t>
  </si>
  <si>
    <t>Watson ML</t>
  </si>
  <si>
    <t>DB2 Storage - Per JVM</t>
  </si>
  <si>
    <t>Mange / Health DB2 T-Shirt Calculations</t>
  </si>
  <si>
    <t>Per User</t>
  </si>
  <si>
    <t>Health Averages:</t>
  </si>
  <si>
    <t>Per Asset</t>
  </si>
  <si>
    <t>DB2 Storage - Per Health User</t>
  </si>
  <si>
    <t>DB2 Storage - Per Asset</t>
  </si>
  <si>
    <t>DB2 Storage - Per Manage User</t>
  </si>
  <si>
    <t>Manage Users Entered</t>
  </si>
  <si>
    <t>Health Users Entered</t>
  </si>
  <si>
    <t>Health Assets Entered</t>
  </si>
  <si>
    <t>Cluster Wide</t>
  </si>
  <si>
    <t>No CP4D</t>
  </si>
  <si>
    <t>Cp4d</t>
  </si>
  <si>
    <t>Db2</t>
  </si>
  <si>
    <t>(IoT Platform - Not included)</t>
  </si>
  <si>
    <t>Watson Studio - Don't double count w/HPU</t>
  </si>
  <si>
    <t>(IoT included) - Safety being removed, so no duplication possible</t>
  </si>
  <si>
    <t>Cluster Wide - Based on largest size application</t>
  </si>
  <si>
    <t>HPU</t>
  </si>
  <si>
    <t>Cluster Wide - Manage Only</t>
  </si>
  <si>
    <t>MasterOCP</t>
  </si>
  <si>
    <t>Rules / Include</t>
  </si>
  <si>
    <t>Watson Studio (don't double count if Predict also entered)</t>
  </si>
  <si>
    <r>
      <rPr>
        <vertAlign val="superscript"/>
        <sz val="12"/>
        <color theme="1"/>
        <rFont val="Calibri (Body)"/>
      </rPr>
      <t>4</t>
    </r>
    <r>
      <rPr>
        <sz val="12"/>
        <color theme="1"/>
        <rFont val="Calibri"/>
        <family val="2"/>
        <scheme val="minor"/>
      </rPr>
      <t xml:space="preserve">Existing JVMs Deployed with </t>
    </r>
    <r>
      <rPr>
        <b/>
        <sz val="12"/>
        <color theme="1"/>
        <rFont val="Calibri"/>
        <family val="2"/>
        <scheme val="minor"/>
      </rPr>
      <t>Maximo EAM v7.6.1.x</t>
    </r>
    <r>
      <rPr>
        <sz val="12"/>
        <color theme="1"/>
        <rFont val="Calibri"/>
        <family val="2"/>
        <scheme val="minor"/>
      </rPr>
      <t xml:space="preserve">
If both JVMs and Users are defined, the calculation will use the larger of the two outcomes.</t>
    </r>
  </si>
  <si>
    <t>Health to Manage User Ratio:</t>
  </si>
  <si>
    <t>Health Equivelant Manage Users</t>
  </si>
  <si>
    <t>Manage/Health JVMs Entered</t>
  </si>
  <si>
    <t>Manage Average:</t>
  </si>
  <si>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When calculating with </t>
    </r>
    <r>
      <rPr>
        <b/>
        <sz val="13"/>
        <color theme="1"/>
        <rFont val="Calibri"/>
        <family val="2"/>
        <scheme val="minor"/>
      </rPr>
      <t>i/o</t>
    </r>
    <r>
      <rPr>
        <b/>
        <sz val="12"/>
        <color theme="1"/>
        <rFont val="Calibri (Body)"/>
      </rPr>
      <t xml:space="preserve"> </t>
    </r>
    <r>
      <rPr>
        <b/>
        <sz val="12"/>
        <color theme="1"/>
        <rFont val="Calibri"/>
        <family val="2"/>
        <scheme val="minor"/>
      </rPr>
      <t>points</t>
    </r>
    <r>
      <rPr>
        <sz val="12"/>
        <color theme="1"/>
        <rFont val="Calibri"/>
        <family val="2"/>
        <scheme val="minor"/>
      </rPr>
      <t>, the total is equal to the product of the following three dimensions:
1) Number of devices
2) Number of data points sent in each message
3) Number of messages sent per minute per device</t>
    </r>
  </si>
  <si>
    <t xml:space="preserve">Application Sizing </t>
  </si>
  <si>
    <t>Additional Application Sizing</t>
  </si>
  <si>
    <t>BootStrap Temp</t>
  </si>
  <si>
    <t>OCP Master Node</t>
  </si>
  <si>
    <t>Active Sizes</t>
  </si>
  <si>
    <t xml:space="preserve">Xsmall/Min  </t>
  </si>
  <si>
    <t xml:space="preserve">Small  </t>
  </si>
  <si>
    <t xml:space="preserve">Medium  </t>
  </si>
  <si>
    <t xml:space="preserve">Large  </t>
  </si>
  <si>
    <t xml:space="preserve">Beyond Large  </t>
  </si>
  <si>
    <t xml:space="preserve">Dev  </t>
  </si>
  <si>
    <t>Cluster Wide Allocations</t>
  </si>
  <si>
    <t>Cluster Wide - Requires 4 &amp; 16 if only a 2 node cluster.</t>
  </si>
  <si>
    <t xml:space="preserve">MAS Core  </t>
  </si>
  <si>
    <t xml:space="preserve">CP4D Base  </t>
  </si>
  <si>
    <t xml:space="preserve">CP4D db2u  </t>
  </si>
  <si>
    <t>Sizing for Watson Studio between Predict &amp; HPU</t>
  </si>
  <si>
    <t>Total Production Cluster Requirements</t>
  </si>
  <si>
    <t>Existing DB2 Database Selection</t>
  </si>
  <si>
    <t>GPU</t>
  </si>
  <si>
    <t>Isolate GPU?</t>
  </si>
  <si>
    <t>Selections</t>
  </si>
  <si>
    <t>Total Dev Cluster(s) Requirements</t>
  </si>
  <si>
    <t xml:space="preserve">Total Additional Application Quantities:  </t>
  </si>
  <si>
    <t xml:space="preserve">Total Cluster Wide Quantities:  </t>
  </si>
  <si>
    <t>Total Development Clusters Entered</t>
  </si>
  <si>
    <t>TOTALS per Dev Cluster</t>
  </si>
  <si>
    <t>One Dev Cluster Requirements</t>
  </si>
  <si>
    <t>Production Cluster Configuration</t>
  </si>
  <si>
    <t>Development Cluster(s) Configuration</t>
  </si>
  <si>
    <t>Health Equivelant Users:</t>
  </si>
  <si>
    <t>Crontask Usage</t>
  </si>
  <si>
    <t>IntRptCrontask</t>
  </si>
  <si>
    <t>Manage IntRptCrontask JVMs</t>
  </si>
  <si>
    <t>Duplicate of DB2</t>
  </si>
  <si>
    <t>Memory Factor</t>
  </si>
  <si>
    <t>GPU Factor</t>
  </si>
  <si>
    <t>v8_8</t>
  </si>
  <si>
    <t>Modified Manage + Health to be formula driven</t>
  </si>
  <si>
    <t>Removed Safety</t>
  </si>
  <si>
    <t>Added Optimizer</t>
  </si>
  <si>
    <t>Revamped Development Environments - Cluster Wide</t>
  </si>
  <si>
    <t>Defined cluster wide allocations</t>
  </si>
  <si>
    <t>Separated File Storage from DB Storage Allocations</t>
  </si>
  <si>
    <t>Added Option to Isolate DB Server - Default Config</t>
  </si>
  <si>
    <t>Production + Development Cluster Configuration</t>
  </si>
  <si>
    <t>vCPU</t>
  </si>
  <si>
    <t xml:space="preserve">vCPU Factor </t>
  </si>
  <si>
    <t>vCPUs</t>
  </si>
  <si>
    <t>Memory (GiB)</t>
  </si>
  <si>
    <t>File Storage (GiB)</t>
  </si>
  <si>
    <t>DB2 Storage (GiB)</t>
  </si>
  <si>
    <t>Total GiBs</t>
  </si>
  <si>
    <t>Memory GiB per JVM</t>
  </si>
  <si>
    <t>DB Storage (GiB)</t>
  </si>
  <si>
    <t>Core Application vCPUs -----&gt;</t>
  </si>
  <si>
    <t>vCPUs per JVM</t>
  </si>
  <si>
    <t>vCPUs to Add to Final</t>
  </si>
  <si>
    <t>DB2 Size for vCPUs &amp; Memory</t>
  </si>
  <si>
    <t>vCPUs per Socket</t>
  </si>
  <si>
    <t>CPU Socket Count</t>
  </si>
  <si>
    <t>CP4D Needed?</t>
  </si>
  <si>
    <t>Isolate DB?</t>
  </si>
  <si>
    <t>Main Conf</t>
  </si>
  <si>
    <t>MVI Conf</t>
  </si>
  <si>
    <t>DB Conf</t>
  </si>
  <si>
    <t>Total DB Storage (GiB)</t>
  </si>
  <si>
    <t>System Configuration Results</t>
  </si>
  <si>
    <t>Beyond Large</t>
  </si>
  <si>
    <r>
      <t>vCPUs</t>
    </r>
    <r>
      <rPr>
        <b/>
        <vertAlign val="superscript"/>
        <sz val="12"/>
        <color theme="1"/>
        <rFont val="Calibri"/>
        <family val="2"/>
        <scheme val="minor"/>
      </rPr>
      <t>5</t>
    </r>
  </si>
  <si>
    <t xml:space="preserve">TOTAL vCPUs:       </t>
  </si>
  <si>
    <t>Core Application Memory (GiB) -----&gt;</t>
  </si>
  <si>
    <t xml:space="preserve">TOTAL Memory (GiB):       </t>
  </si>
  <si>
    <t>Storage (GiB)</t>
  </si>
  <si>
    <t>Core Applications File System (GiB) -----&gt;</t>
  </si>
  <si>
    <t xml:space="preserve">Additional Applications vCPU Totals:       </t>
  </si>
  <si>
    <t xml:space="preserve">Additional Applications Memory (GiB) Totals:       </t>
  </si>
  <si>
    <t xml:space="preserve">Cluster Wide Memory (GiB) Totals:       </t>
  </si>
  <si>
    <t xml:space="preserve">Cluster Wide vCPU Totals:       </t>
  </si>
  <si>
    <t xml:space="preserve">Additional Applications File System (GiB) Totals:       </t>
  </si>
  <si>
    <t xml:space="preserve">Cluster Wide File System (GiB) Totals:       </t>
  </si>
  <si>
    <t xml:space="preserve">Additional Applications DB (GiB) Totals:       </t>
  </si>
  <si>
    <t xml:space="preserve">TOTAL DB Storage (GiB):       </t>
  </si>
  <si>
    <t xml:space="preserve">TOTAL File System Storage (GiB):       </t>
  </si>
  <si>
    <t>Core Applications GPUs -----&gt;</t>
  </si>
  <si>
    <t>OpenShift Master Node(s) Totals</t>
  </si>
  <si>
    <t>New Calculator - Major Update - Many Changes</t>
  </si>
  <si>
    <t>Added Option for Development DB Storage Size Selection - Equal Prod or Equal Calculated</t>
  </si>
  <si>
    <t>Manage + Health Updated to be a Single Allocation</t>
  </si>
  <si>
    <t>1.5 core, 9 gb for each JVM</t>
  </si>
  <si>
    <t>Node Count</t>
  </si>
  <si>
    <t>Total Master Node Requirements</t>
  </si>
  <si>
    <t>Remove if 'existing DB - Monitor' is "Y"</t>
  </si>
  <si>
    <t>Remove if 'existing DB Manage' is "Y"</t>
  </si>
  <si>
    <t>v8_9</t>
  </si>
  <si>
    <t>Added Manage Specific JVM Requirements when Manage is selected as "Y" - User input fields</t>
  </si>
  <si>
    <t>Updated the alert flag for isolated DB2 server configuration to check when more servers are configured than database instances needed.</t>
  </si>
  <si>
    <t>Added OpenShift Master Node totals in the top level summary</t>
  </si>
  <si>
    <t>Updated the OpenShift Master Node summary totals in the System Configuration Results</t>
  </si>
  <si>
    <t>Updated the development environments to not count DB2 allocation if "use existing database" flag is set to "Y".  This is set for both Manage and Monitor Database flags.</t>
  </si>
  <si>
    <t>Secondary (Optional)</t>
  </si>
  <si>
    <t>v8_10</t>
  </si>
  <si>
    <t>Updated t-shirt size definitions for Monitor tied to I/O Points</t>
  </si>
  <si>
    <t>Allocation is not tied to size for Monitor, Predict, and Assist</t>
  </si>
  <si>
    <t>Cognos</t>
  </si>
  <si>
    <t>Deploy Cognos?</t>
  </si>
  <si>
    <t>Added Cognos Configuration Option for Manage</t>
  </si>
  <si>
    <t>Fixed Development Calculations related to MongoDB</t>
  </si>
  <si>
    <r>
      <rPr>
        <b/>
        <i/>
        <sz val="18"/>
        <color theme="1"/>
        <rFont val="Calibri"/>
        <family val="2"/>
        <scheme val="minor"/>
      </rPr>
      <t>Development Environment</t>
    </r>
    <r>
      <rPr>
        <sz val="18"/>
        <color theme="1"/>
        <rFont val="Calibri"/>
        <family val="2"/>
        <scheme val="minor"/>
      </rPr>
      <t xml:space="preserve"> Calculation Details</t>
    </r>
  </si>
  <si>
    <t>Updated the Watson ML vCPU and Memory requirements based on updated data from Watson</t>
  </si>
  <si>
    <r>
      <t xml:space="preserve">***For </t>
    </r>
    <r>
      <rPr>
        <b/>
        <sz val="14"/>
        <color rgb="FFFF0000"/>
        <rFont val="Calibri (Body)"/>
      </rPr>
      <t>GUIDANCE</t>
    </r>
    <r>
      <rPr>
        <b/>
        <sz val="14"/>
        <color theme="1"/>
        <rFont val="Calibri"/>
        <family val="2"/>
        <scheme val="minor"/>
      </rPr>
      <t xml:space="preserve"> Purpose Only - </t>
    </r>
    <r>
      <rPr>
        <b/>
        <sz val="14"/>
        <color rgb="FFFF0000"/>
        <rFont val="Calibri (Body)"/>
      </rPr>
      <t>Actual Deployments Will Vary</t>
    </r>
    <r>
      <rPr>
        <b/>
        <sz val="14"/>
        <color theme="1"/>
        <rFont val="Calibri"/>
        <family val="2"/>
        <scheme val="minor"/>
      </rPr>
      <t xml:space="preserve"> ***  -  Enter Inputs in Yellow Cells Only</t>
    </r>
  </si>
  <si>
    <t>Additional Manage JVM Options</t>
  </si>
  <si>
    <t>Maximo IT</t>
  </si>
  <si>
    <r>
      <rPr>
        <sz val="12"/>
        <color theme="1"/>
        <rFont val="Calibri (Body)"/>
      </rPr>
      <t>UI JVMs</t>
    </r>
    <r>
      <rPr>
        <vertAlign val="superscript"/>
        <sz val="12"/>
        <color theme="1"/>
        <rFont val="Calibri"/>
        <family val="2"/>
        <scheme val="minor"/>
      </rPr>
      <t>4</t>
    </r>
  </si>
  <si>
    <t>v9_0</t>
  </si>
  <si>
    <t>Updated Maximo Optimizer Data</t>
  </si>
  <si>
    <t>Increased MVI File System Space Requirements</t>
  </si>
  <si>
    <r>
      <t xml:space="preserve"> UI JVMs</t>
    </r>
    <r>
      <rPr>
        <vertAlign val="superscript"/>
        <sz val="12"/>
        <color theme="1"/>
        <rFont val="Calibri (Body)"/>
      </rPr>
      <t>4</t>
    </r>
  </si>
  <si>
    <t>Updated OpenShift Worker Node Allocations based on overall size of the environment</t>
  </si>
  <si>
    <t>Updated OpenShift Master Node Allocations:  xs, small, med = 4x16, large=8x32, beyond large=16x96 per node.</t>
  </si>
  <si>
    <t>Fixed the Development Detail Page to Reflect Zero Allocations when Development Environments = 0</t>
  </si>
  <si>
    <t>6 Node Calc</t>
  </si>
  <si>
    <t>Removed Watson Discovery from Assist Requirements - Also removed CP4D requirement from Assist</t>
  </si>
  <si>
    <t>Industry Solutions</t>
  </si>
  <si>
    <t>Manage Industry Solutions Calculations</t>
  </si>
  <si>
    <t>Aviation</t>
  </si>
  <si>
    <t>PlaceHold 2</t>
  </si>
  <si>
    <t>PlaceHold 3</t>
  </si>
  <si>
    <t>vCPUs==&gt;</t>
  </si>
  <si>
    <t>Mem==&gt;</t>
  </si>
  <si>
    <t>Totals</t>
  </si>
  <si>
    <t xml:space="preserve">Manage - Industry Solutions  </t>
  </si>
  <si>
    <t>Bootstrap - Not allocated at this time.</t>
  </si>
  <si>
    <t>Overall Size for Master OCP Nodes &amp; Cluster Wide Applications</t>
  </si>
  <si>
    <t>OCP Master Node Value</t>
  </si>
  <si>
    <t xml:space="preserve">Production Cluster TOTALS:  </t>
  </si>
  <si>
    <t xml:space="preserve">OpenShift Master Node TOTALS:  </t>
  </si>
  <si>
    <t>MAS Performance / Sizing Link</t>
  </si>
  <si>
    <t>OCP Compute Nodes Sizing Guidance Link</t>
  </si>
  <si>
    <t>Updated OpenShift Master Node Allocations to take into consideration Development Environments</t>
  </si>
  <si>
    <t>Watson Studio &amp; WatsonML vCPU and Memory allocations increased.</t>
  </si>
  <si>
    <t xml:space="preserve">Add 20% Capacity for Resilency?  </t>
  </si>
  <si>
    <t xml:space="preserve">Enforce 3 Master + 2 Worker Nodes?  </t>
  </si>
  <si>
    <t xml:space="preserve">Installing into Existing OpenShift?  </t>
  </si>
  <si>
    <t xml:space="preserve">Install Manage w/Existing Database?  </t>
  </si>
  <si>
    <t xml:space="preserve">Install Monitor w/Existing Database?  </t>
  </si>
  <si>
    <t xml:space="preserve">Isolate DB2 Databases on Single Server?  </t>
  </si>
  <si>
    <t xml:space="preserve">Isolate Visual Inspection GPU Nodes?  </t>
  </si>
  <si>
    <t xml:space="preserve">Number of Development Environments:  </t>
  </si>
  <si>
    <t xml:space="preserve">Enforce Dev DBStorage = Prod DBStorag?  </t>
  </si>
  <si>
    <t>Additional Sizing Information Links</t>
  </si>
  <si>
    <t>Aviation/ACM?</t>
  </si>
  <si>
    <t>Develoment Environments Calculation</t>
  </si>
  <si>
    <t>Worker Node</t>
  </si>
  <si>
    <t>Ephemeral Storage</t>
  </si>
  <si>
    <t>Main</t>
  </si>
  <si>
    <t>MVI</t>
  </si>
  <si>
    <t>DB2</t>
  </si>
  <si>
    <t>Total Application File System Storage (GiB)</t>
  </si>
  <si>
    <t xml:space="preserve">Maximo IT - Calculated  </t>
  </si>
  <si>
    <t>Manage Integrations, Reporting, Crontask JVMs</t>
  </si>
  <si>
    <t>Maximo IT - Additional Users Entered:</t>
  </si>
  <si>
    <t>Maximo IT - StandAlone Users Entered:</t>
  </si>
  <si>
    <t>Maximo IT - StandAlone JVMs Entered:</t>
  </si>
  <si>
    <t>Maximo IT Stand Alone</t>
  </si>
  <si>
    <t>Maximo IT Additional Requirements to Manage</t>
  </si>
  <si>
    <t>Max JVMs Between Manage/Health/IT</t>
  </si>
  <si>
    <t>Health Stand Alone</t>
  </si>
  <si>
    <t>Added Maximo IT - Part of Manage with Additional Users Optional by Selecting "Y"</t>
  </si>
  <si>
    <t>Removed H&amp;P Utilities - Requirements collapsed into Health/Manage</t>
  </si>
  <si>
    <t>Added 20% increase of overall sizing if resilency/availability if selected</t>
  </si>
  <si>
    <t>Updated CP4D Allocations - Increased to 14 vCPUs, 10 GiB of Memory, 655 GiB of File Storage</t>
  </si>
  <si>
    <t>Added PVC Storage Required for Worker Nodes - This is storage to run OCP, not user storage.</t>
  </si>
  <si>
    <t>Added Maximo IT to both Production and Development Detail Sheets</t>
  </si>
  <si>
    <t>Ephemeral Storage (GiB) / Node</t>
  </si>
  <si>
    <t>Added Ephemeral Storage (GiB) per Worker Node - This is system storage, not user/application storage (25GiB per vCPU)</t>
  </si>
  <si>
    <t>Add JMS?</t>
  </si>
  <si>
    <t>v9_0_1</t>
  </si>
  <si>
    <t>Added option to remove CP4D allocation for all applications except Predict</t>
  </si>
  <si>
    <t>Added guidance on MIF, Reporting &amp; Crontask</t>
  </si>
  <si>
    <t>Updated MongoDB for Large &amp; Beyond Large - Reduced allocations significantly</t>
  </si>
  <si>
    <t>Fixed CP4D allocation when Maximo IT is selected with Use Existing Database flag set to "Y" (Set to allocations to 0)</t>
  </si>
  <si>
    <t>Fixed Watson Studio allocation in development environments when Maximo IT is the only application set to "Y"</t>
  </si>
  <si>
    <t>Fixed Maximo IT Development Environment allocations with Maximo IT is the only application set to "Y"</t>
  </si>
  <si>
    <t xml:space="preserve">Maximo IT - Dev  </t>
  </si>
  <si>
    <t xml:space="preserve">Exclude CP4D DB2 Allocations?  </t>
  </si>
  <si>
    <t>Fixed Maximo IT Production Detailed Report when DB2 allocation is required and Maximo IT is the only application set to "Y"</t>
  </si>
  <si>
    <t>IBM® Maximo® Application Suite Infrastructure Calculator - v9_0_1</t>
  </si>
  <si>
    <t xml:space="preserve">Manage - (MIF, Rprt, Crontask) + Cognos + JMS  </t>
  </si>
  <si>
    <t>All Apps = "N"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</si>
</sst>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_(&quot;$&quot;* #,##0.0000_);_(&quot;$&quot;* \(#,##0.0000\);_(&quot;$&quot;* &quot;-&quot;??_);_(@_)"/>
    <numFmt numFmtId="167" formatCode="_-&quot;£&quot;* #,##0_-;\-&quot;£&quot;* #,##0_-;_-&quot;£&quot;* &quot;-&quot;??_-;_-@_-"/>
    <numFmt numFmtId="168" formatCode="#,###;[Red]\(#,###\);&quot;-&quot;"/>
    <numFmt numFmtId="169" formatCode="#,###.###;[Red]\(#,###\);&quot;-&quot;"/>
    <numFmt numFmtId="170" formatCode="General;[Red]\(#,###.#\);&quot;-&quot;"/>
    <numFmt numFmtId="171" formatCode="#,###.0##;[Red]\(#,###\);&quot;-&quot;"/>
  </numFmts>
  <fonts count="4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vertAlign val="superscript"/>
      <sz val="12"/>
      <color theme="1"/>
      <name val="Calibri (Body)"/>
    </font>
    <font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12"/>
      <color rgb="FFFFFF00"/>
      <name val="Calibri"/>
      <family val="2"/>
      <scheme val="minor"/>
    </font>
    <font>
      <b/>
      <sz val="14"/>
      <color rgb="FFFF0000"/>
      <name val="Calibri (Body)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1"/>
      <name val="Calibri (Body)"/>
    </font>
    <font>
      <u/>
      <sz val="12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070F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AD7E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EFF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1FFFF"/>
        <bgColor indexed="64"/>
      </patternFill>
    </fill>
    <fill>
      <patternFill patternType="solid">
        <fgColor rgb="FFE1CCFE"/>
        <bgColor indexed="64"/>
      </patternFill>
    </fill>
    <fill>
      <patternFill patternType="solid">
        <fgColor rgb="FFF070F2"/>
        <bgColor indexed="64"/>
      </patternFill>
    </fill>
  </fills>
  <borders count="1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dashDot">
        <color auto="1"/>
      </top>
      <bottom/>
      <diagonal/>
    </border>
    <border>
      <left style="thin">
        <color theme="1"/>
      </left>
      <right style="thin">
        <color theme="1"/>
      </right>
      <top style="dashDot">
        <color auto="1"/>
      </top>
      <bottom/>
      <diagonal/>
    </border>
    <border>
      <left style="thin">
        <color theme="1"/>
      </left>
      <right style="medium">
        <color theme="1"/>
      </right>
      <top style="dashDot">
        <color auto="1"/>
      </top>
      <bottom/>
      <diagonal/>
    </border>
    <border>
      <left style="medium">
        <color indexed="64"/>
      </left>
      <right/>
      <top style="dashDot">
        <color auto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dashDot">
        <color auto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dashDot">
        <color auto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dashDot">
        <color auto="1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dashDot">
        <color auto="1"/>
      </top>
      <bottom/>
      <diagonal/>
    </border>
    <border>
      <left/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dashDot">
        <color auto="1"/>
      </top>
      <bottom style="dashDot">
        <color indexed="64"/>
      </bottom>
      <diagonal/>
    </border>
    <border>
      <left/>
      <right style="medium">
        <color indexed="64"/>
      </right>
      <top style="dashDot">
        <color auto="1"/>
      </top>
      <bottom style="dashDot">
        <color indexed="64"/>
      </bottom>
      <diagonal/>
    </border>
    <border>
      <left style="medium">
        <color indexed="64"/>
      </left>
      <right/>
      <top style="medium">
        <color indexed="64"/>
      </top>
      <bottom style="dashDot">
        <color auto="1"/>
      </bottom>
      <diagonal/>
    </border>
    <border>
      <left/>
      <right style="medium">
        <color indexed="64"/>
      </right>
      <top style="medium">
        <color indexed="64"/>
      </top>
      <bottom style="dashDot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667">
    <xf numFmtId="0" fontId="0" fillId="0" borderId="0" xfId="0"/>
    <xf numFmtId="0" fontId="0" fillId="2" borderId="57" xfId="0" applyFill="1" applyBorder="1" applyProtection="1">
      <protection locked="0"/>
    </xf>
    <xf numFmtId="0" fontId="0" fillId="2" borderId="58" xfId="0" applyFill="1" applyBorder="1" applyProtection="1">
      <protection locked="0"/>
    </xf>
    <xf numFmtId="0" fontId="0" fillId="2" borderId="59" xfId="0" applyFill="1" applyBorder="1" applyProtection="1">
      <protection locked="0"/>
    </xf>
    <xf numFmtId="0" fontId="0" fillId="2" borderId="58" xfId="0" applyFill="1" applyBorder="1" applyAlignment="1" applyProtection="1">
      <alignment horizontal="right"/>
      <protection locked="0"/>
    </xf>
    <xf numFmtId="0" fontId="0" fillId="0" borderId="0" xfId="0" applyProtection="1">
      <protection hidden="1"/>
    </xf>
    <xf numFmtId="164" fontId="0" fillId="0" borderId="8" xfId="1" applyNumberFormat="1" applyFont="1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 vertical="top"/>
      <protection hidden="1"/>
    </xf>
    <xf numFmtId="0" fontId="0" fillId="0" borderId="19" xfId="0" applyBorder="1" applyAlignment="1" applyProtection="1">
      <alignment horizontal="center" vertical="top"/>
      <protection hidden="1"/>
    </xf>
    <xf numFmtId="0" fontId="0" fillId="0" borderId="69" xfId="0" applyBorder="1" applyAlignment="1" applyProtection="1">
      <alignment horizontal="center" vertical="top"/>
      <protection hidden="1"/>
    </xf>
    <xf numFmtId="164" fontId="0" fillId="0" borderId="9" xfId="1" applyNumberFormat="1" applyFont="1" applyBorder="1" applyProtection="1">
      <protection hidden="1"/>
    </xf>
    <xf numFmtId="0" fontId="0" fillId="0" borderId="49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 vertical="top"/>
      <protection hidden="1"/>
    </xf>
    <xf numFmtId="0" fontId="0" fillId="0" borderId="7" xfId="0" applyBorder="1" applyProtection="1">
      <protection hidden="1"/>
    </xf>
    <xf numFmtId="0" fontId="0" fillId="0" borderId="22" xfId="0" applyBorder="1" applyProtection="1">
      <protection hidden="1"/>
    </xf>
    <xf numFmtId="0" fontId="16" fillId="0" borderId="0" xfId="0" applyFont="1" applyProtection="1">
      <protection hidden="1"/>
    </xf>
    <xf numFmtId="0" fontId="13" fillId="0" borderId="0" xfId="0" applyFont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58" xfId="0" applyBorder="1" applyProtection="1">
      <protection hidden="1"/>
    </xf>
    <xf numFmtId="3" fontId="0" fillId="0" borderId="42" xfId="0" applyNumberFormat="1" applyBorder="1" applyProtection="1">
      <protection hidden="1"/>
    </xf>
    <xf numFmtId="3" fontId="0" fillId="4" borderId="12" xfId="0" applyNumberFormat="1" applyFill="1" applyBorder="1" applyProtection="1">
      <protection hidden="1"/>
    </xf>
    <xf numFmtId="3" fontId="0" fillId="0" borderId="12" xfId="0" applyNumberFormat="1" applyBorder="1" applyProtection="1">
      <protection hidden="1"/>
    </xf>
    <xf numFmtId="0" fontId="3" fillId="0" borderId="39" xfId="0" applyFont="1" applyBorder="1" applyProtection="1">
      <protection hidden="1"/>
    </xf>
    <xf numFmtId="0" fontId="3" fillId="0" borderId="39" xfId="0" applyFont="1" applyBorder="1" applyAlignment="1" applyProtection="1">
      <alignment horizontal="center" wrapText="1"/>
      <protection hidden="1"/>
    </xf>
    <xf numFmtId="0" fontId="3" fillId="6" borderId="16" xfId="0" applyFont="1" applyFill="1" applyBorder="1" applyProtection="1">
      <protection hidden="1"/>
    </xf>
    <xf numFmtId="0" fontId="0" fillId="0" borderId="19" xfId="0" applyBorder="1" applyAlignment="1" applyProtection="1">
      <alignment wrapText="1"/>
      <protection hidden="1"/>
    </xf>
    <xf numFmtId="0" fontId="0" fillId="0" borderId="9" xfId="0" applyBorder="1" applyAlignment="1" applyProtection="1">
      <alignment wrapText="1"/>
      <protection hidden="1"/>
    </xf>
    <xf numFmtId="0" fontId="0" fillId="0" borderId="24" xfId="0" applyBorder="1" applyAlignment="1" applyProtection="1">
      <alignment wrapText="1"/>
      <protection hidden="1"/>
    </xf>
    <xf numFmtId="0" fontId="0" fillId="0" borderId="29" xfId="0" applyBorder="1" applyAlignment="1" applyProtection="1">
      <alignment horizontal="center" vertical="top"/>
      <protection hidden="1"/>
    </xf>
    <xf numFmtId="0" fontId="0" fillId="3" borderId="12" xfId="0" applyFill="1" applyBorder="1" applyAlignment="1" applyProtection="1">
      <alignment horizontal="center"/>
      <protection hidden="1"/>
    </xf>
    <xf numFmtId="0" fontId="0" fillId="3" borderId="27" xfId="0" applyFill="1" applyBorder="1" applyAlignment="1" applyProtection="1">
      <alignment horizont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3" fillId="0" borderId="0" xfId="0" applyFont="1" applyAlignment="1" applyProtection="1">
      <alignment horizontal="right"/>
      <protection hidden="1"/>
    </xf>
    <xf numFmtId="164" fontId="0" fillId="0" borderId="70" xfId="0" applyNumberFormat="1" applyBorder="1" applyAlignment="1" applyProtection="1">
      <alignment horizontal="center"/>
      <protection hidden="1"/>
    </xf>
    <xf numFmtId="0" fontId="0" fillId="21" borderId="58" xfId="0" applyFill="1" applyBorder="1" applyAlignment="1" applyProtection="1">
      <alignment horizontal="right"/>
      <protection hidden="1"/>
    </xf>
    <xf numFmtId="0" fontId="0" fillId="21" borderId="10" xfId="0" applyFill="1" applyBorder="1" applyAlignment="1" applyProtection="1">
      <alignment horizontal="right"/>
      <protection hidden="1"/>
    </xf>
    <xf numFmtId="0" fontId="0" fillId="21" borderId="60" xfId="0" applyFill="1" applyBorder="1" applyAlignment="1" applyProtection="1">
      <alignment horizontal="right"/>
      <protection hidden="1"/>
    </xf>
    <xf numFmtId="0" fontId="0" fillId="21" borderId="59" xfId="0" applyFill="1" applyBorder="1" applyAlignment="1" applyProtection="1">
      <alignment horizontal="right"/>
      <protection hidden="1"/>
    </xf>
    <xf numFmtId="0" fontId="17" fillId="16" borderId="0" xfId="0" applyFont="1" applyFill="1" applyAlignment="1" applyProtection="1">
      <alignment horizontal="center"/>
      <protection hidden="1"/>
    </xf>
    <xf numFmtId="0" fontId="0" fillId="7" borderId="19" xfId="0" applyFill="1" applyBorder="1" applyAlignment="1" applyProtection="1">
      <alignment horizontal="center" vertical="top"/>
      <protection hidden="1"/>
    </xf>
    <xf numFmtId="0" fontId="0" fillId="7" borderId="29" xfId="0" applyFill="1" applyBorder="1" applyAlignment="1" applyProtection="1">
      <alignment horizontal="center" vertical="top"/>
      <protection hidden="1"/>
    </xf>
    <xf numFmtId="0" fontId="0" fillId="23" borderId="3" xfId="0" applyFill="1" applyBorder="1" applyAlignment="1" applyProtection="1">
      <alignment horizontal="center" vertical="top"/>
      <protection hidden="1"/>
    </xf>
    <xf numFmtId="0" fontId="0" fillId="7" borderId="69" xfId="0" applyFill="1" applyBorder="1" applyAlignment="1" applyProtection="1">
      <alignment horizontal="center" vertical="top"/>
      <protection hidden="1"/>
    </xf>
    <xf numFmtId="0" fontId="0" fillId="13" borderId="57" xfId="0" applyFill="1" applyBorder="1" applyAlignment="1" applyProtection="1">
      <alignment horizontal="right"/>
      <protection hidden="1"/>
    </xf>
    <xf numFmtId="0" fontId="0" fillId="13" borderId="58" xfId="0" applyFill="1" applyBorder="1" applyAlignment="1" applyProtection="1">
      <alignment horizontal="right"/>
      <protection hidden="1"/>
    </xf>
    <xf numFmtId="0" fontId="0" fillId="13" borderId="58" xfId="0" applyFill="1" applyBorder="1" applyAlignment="1" applyProtection="1">
      <alignment horizontal="right" vertical="center"/>
      <protection hidden="1"/>
    </xf>
    <xf numFmtId="0" fontId="0" fillId="0" borderId="25" xfId="0" applyBorder="1" applyProtection="1">
      <protection hidden="1"/>
    </xf>
    <xf numFmtId="0" fontId="3" fillId="21" borderId="39" xfId="0" applyFont="1" applyFill="1" applyBorder="1" applyAlignment="1" applyProtection="1">
      <alignment horizontal="center"/>
      <protection hidden="1"/>
    </xf>
    <xf numFmtId="0" fontId="0" fillId="10" borderId="58" xfId="0" applyFill="1" applyBorder="1" applyAlignment="1" applyProtection="1">
      <alignment horizontal="right"/>
      <protection hidden="1"/>
    </xf>
    <xf numFmtId="0" fontId="0" fillId="10" borderId="36" xfId="0" applyFill="1" applyBorder="1" applyAlignment="1" applyProtection="1">
      <alignment horizontal="right"/>
      <protection hidden="1"/>
    </xf>
    <xf numFmtId="0" fontId="0" fillId="10" borderId="47" xfId="0" applyFill="1" applyBorder="1" applyAlignment="1" applyProtection="1">
      <alignment horizontal="right"/>
      <protection hidden="1"/>
    </xf>
    <xf numFmtId="0" fontId="0" fillId="21" borderId="57" xfId="0" applyFill="1" applyBorder="1" applyAlignment="1" applyProtection="1">
      <alignment horizontal="right"/>
      <protection hidden="1"/>
    </xf>
    <xf numFmtId="0" fontId="0" fillId="13" borderId="36" xfId="0" applyFill="1" applyBorder="1" applyAlignment="1" applyProtection="1">
      <alignment horizontal="right"/>
      <protection hidden="1"/>
    </xf>
    <xf numFmtId="0" fontId="0" fillId="13" borderId="47" xfId="0" applyFill="1" applyBorder="1" applyAlignment="1" applyProtection="1">
      <alignment horizontal="right"/>
      <protection hidden="1"/>
    </xf>
    <xf numFmtId="0" fontId="0" fillId="13" borderId="51" xfId="0" applyFill="1" applyBorder="1" applyAlignment="1" applyProtection="1">
      <alignment horizontal="right"/>
      <protection hidden="1"/>
    </xf>
    <xf numFmtId="0" fontId="3" fillId="3" borderId="0" xfId="0" applyFont="1" applyFill="1" applyAlignment="1" applyProtection="1">
      <alignment horizontal="center"/>
      <protection hidden="1"/>
    </xf>
    <xf numFmtId="0" fontId="0" fillId="0" borderId="78" xfId="0" applyBorder="1" applyProtection="1">
      <protection hidden="1"/>
    </xf>
    <xf numFmtId="0" fontId="0" fillId="0" borderId="35" xfId="0" applyBorder="1" applyAlignment="1" applyProtection="1">
      <alignment wrapText="1"/>
      <protection hidden="1"/>
    </xf>
    <xf numFmtId="0" fontId="3" fillId="24" borderId="7" xfId="0" applyFont="1" applyFill="1" applyBorder="1" applyAlignment="1" applyProtection="1">
      <alignment horizontal="center"/>
      <protection hidden="1"/>
    </xf>
    <xf numFmtId="0" fontId="0" fillId="10" borderId="10" xfId="0" applyFill="1" applyBorder="1" applyAlignment="1" applyProtection="1">
      <alignment horizontal="right"/>
      <protection hidden="1"/>
    </xf>
    <xf numFmtId="0" fontId="0" fillId="10" borderId="59" xfId="0" applyFill="1" applyBorder="1" applyAlignment="1" applyProtection="1">
      <alignment horizontal="right"/>
      <protection hidden="1"/>
    </xf>
    <xf numFmtId="168" fontId="0" fillId="5" borderId="58" xfId="0" applyNumberFormat="1" applyFill="1" applyBorder="1" applyAlignment="1" applyProtection="1">
      <alignment horizontal="center"/>
      <protection hidden="1"/>
    </xf>
    <xf numFmtId="168" fontId="7" fillId="5" borderId="5" xfId="1" applyNumberFormat="1" applyFont="1" applyFill="1" applyBorder="1" applyAlignment="1" applyProtection="1">
      <alignment horizontal="center"/>
      <protection hidden="1"/>
    </xf>
    <xf numFmtId="168" fontId="7" fillId="5" borderId="0" xfId="1" applyNumberFormat="1" applyFont="1" applyFill="1" applyBorder="1" applyAlignment="1" applyProtection="1">
      <alignment horizontal="center"/>
      <protection hidden="1"/>
    </xf>
    <xf numFmtId="168" fontId="7" fillId="16" borderId="28" xfId="1" applyNumberFormat="1" applyFont="1" applyFill="1" applyBorder="1" applyAlignment="1" applyProtection="1">
      <alignment horizontal="center" vertical="center"/>
      <protection hidden="1"/>
    </xf>
    <xf numFmtId="168" fontId="3" fillId="3" borderId="39" xfId="0" applyNumberFormat="1" applyFont="1" applyFill="1" applyBorder="1" applyAlignment="1" applyProtection="1">
      <alignment horizontal="center"/>
      <protection hidden="1"/>
    </xf>
    <xf numFmtId="170" fontId="3" fillId="24" borderId="39" xfId="0" applyNumberFormat="1" applyFont="1" applyFill="1" applyBorder="1" applyAlignment="1" applyProtection="1">
      <alignment horizontal="center"/>
      <protection hidden="1"/>
    </xf>
    <xf numFmtId="170" fontId="0" fillId="5" borderId="57" xfId="0" applyNumberFormat="1" applyFill="1" applyBorder="1" applyAlignment="1" applyProtection="1">
      <alignment horizontal="center" vertical="top" readingOrder="1"/>
      <protection hidden="1"/>
    </xf>
    <xf numFmtId="170" fontId="0" fillId="5" borderId="58" xfId="0" applyNumberFormat="1" applyFill="1" applyBorder="1" applyAlignment="1" applyProtection="1">
      <alignment horizontal="center" vertical="top" readingOrder="1"/>
      <protection hidden="1"/>
    </xf>
    <xf numFmtId="170" fontId="0" fillId="5" borderId="58" xfId="0" applyNumberFormat="1" applyFill="1" applyBorder="1" applyAlignment="1" applyProtection="1">
      <alignment horizontal="center"/>
      <protection hidden="1"/>
    </xf>
    <xf numFmtId="170" fontId="3" fillId="3" borderId="39" xfId="0" applyNumberFormat="1" applyFont="1" applyFill="1" applyBorder="1" applyAlignment="1" applyProtection="1">
      <alignment horizontal="center" vertical="top" readingOrder="1"/>
      <protection hidden="1"/>
    </xf>
    <xf numFmtId="170" fontId="3" fillId="3" borderId="3" xfId="0" applyNumberFormat="1" applyFont="1" applyFill="1" applyBorder="1" applyAlignment="1" applyProtection="1">
      <alignment horizontal="center"/>
      <protection hidden="1"/>
    </xf>
    <xf numFmtId="170" fontId="0" fillId="0" borderId="57" xfId="0" applyNumberFormat="1" applyBorder="1" applyAlignment="1" applyProtection="1">
      <alignment horizontal="center"/>
      <protection hidden="1"/>
    </xf>
    <xf numFmtId="170" fontId="0" fillId="0" borderId="38" xfId="0" applyNumberFormat="1" applyBorder="1" applyAlignment="1" applyProtection="1">
      <alignment horizontal="center"/>
      <protection hidden="1"/>
    </xf>
    <xf numFmtId="170" fontId="0" fillId="0" borderId="58" xfId="0" applyNumberFormat="1" applyBorder="1" applyAlignment="1" applyProtection="1">
      <alignment horizontal="center"/>
      <protection hidden="1"/>
    </xf>
    <xf numFmtId="170" fontId="0" fillId="0" borderId="61" xfId="0" applyNumberFormat="1" applyBorder="1" applyAlignment="1" applyProtection="1">
      <alignment horizontal="center"/>
      <protection hidden="1"/>
    </xf>
    <xf numFmtId="170" fontId="0" fillId="0" borderId="59" xfId="0" applyNumberFormat="1" applyBorder="1" applyAlignment="1" applyProtection="1">
      <alignment horizontal="center"/>
      <protection hidden="1"/>
    </xf>
    <xf numFmtId="170" fontId="0" fillId="0" borderId="49" xfId="0" applyNumberFormat="1" applyBorder="1" applyAlignment="1" applyProtection="1">
      <alignment horizontal="center"/>
      <protection hidden="1"/>
    </xf>
    <xf numFmtId="170" fontId="0" fillId="5" borderId="59" xfId="0" applyNumberFormat="1" applyFill="1" applyBorder="1" applyAlignment="1" applyProtection="1">
      <alignment horizontal="center"/>
      <protection hidden="1"/>
    </xf>
    <xf numFmtId="170" fontId="3" fillId="3" borderId="25" xfId="0" applyNumberFormat="1" applyFont="1" applyFill="1" applyBorder="1" applyAlignment="1" applyProtection="1">
      <alignment horizontal="center"/>
      <protection hidden="1"/>
    </xf>
    <xf numFmtId="170" fontId="0" fillId="0" borderId="10" xfId="0" applyNumberFormat="1" applyBorder="1" applyAlignment="1" applyProtection="1">
      <alignment horizontal="center"/>
      <protection hidden="1"/>
    </xf>
    <xf numFmtId="170" fontId="0" fillId="0" borderId="6" xfId="0" applyNumberFormat="1" applyBorder="1" applyAlignment="1" applyProtection="1">
      <alignment horizontal="center"/>
      <protection hidden="1"/>
    </xf>
    <xf numFmtId="170" fontId="0" fillId="5" borderId="49" xfId="0" applyNumberFormat="1" applyFill="1" applyBorder="1" applyAlignment="1" applyProtection="1">
      <alignment horizontal="center"/>
      <protection hidden="1"/>
    </xf>
    <xf numFmtId="170" fontId="3" fillId="24" borderId="23" xfId="0" applyNumberFormat="1" applyFont="1" applyFill="1" applyBorder="1" applyAlignment="1" applyProtection="1">
      <alignment horizontal="center"/>
      <protection hidden="1"/>
    </xf>
    <xf numFmtId="170" fontId="3" fillId="24" borderId="24" xfId="0" applyNumberFormat="1" applyFont="1" applyFill="1" applyBorder="1" applyAlignment="1" applyProtection="1">
      <alignment horizontal="center"/>
      <protection hidden="1"/>
    </xf>
    <xf numFmtId="170" fontId="3" fillId="6" borderId="23" xfId="0" applyNumberFormat="1" applyFont="1" applyFill="1" applyBorder="1" applyAlignment="1" applyProtection="1">
      <alignment horizontal="center"/>
      <protection hidden="1"/>
    </xf>
    <xf numFmtId="170" fontId="3" fillId="6" borderId="24" xfId="0" applyNumberFormat="1" applyFont="1" applyFill="1" applyBorder="1" applyAlignment="1" applyProtection="1">
      <alignment horizontal="center"/>
      <protection hidden="1"/>
    </xf>
    <xf numFmtId="171" fontId="0" fillId="8" borderId="66" xfId="0" applyNumberFormat="1" applyFill="1" applyBorder="1" applyAlignment="1" applyProtection="1">
      <alignment horizontal="center" wrapText="1"/>
      <protection hidden="1"/>
    </xf>
    <xf numFmtId="171" fontId="0" fillId="8" borderId="67" xfId="0" applyNumberFormat="1" applyFill="1" applyBorder="1" applyAlignment="1" applyProtection="1">
      <alignment horizontal="center"/>
      <protection hidden="1"/>
    </xf>
    <xf numFmtId="171" fontId="0" fillId="8" borderId="68" xfId="0" applyNumberFormat="1" applyFill="1" applyBorder="1" applyAlignment="1" applyProtection="1">
      <alignment horizontal="center"/>
      <protection hidden="1"/>
    </xf>
    <xf numFmtId="168" fontId="7" fillId="5" borderId="2" xfId="1" applyNumberFormat="1" applyFont="1" applyFill="1" applyBorder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171" fontId="0" fillId="7" borderId="87" xfId="0" applyNumberFormat="1" applyFill="1" applyBorder="1" applyAlignment="1" applyProtection="1">
      <alignment horizontal="center"/>
      <protection hidden="1"/>
    </xf>
    <xf numFmtId="171" fontId="0" fillId="7" borderId="88" xfId="0" applyNumberFormat="1" applyFill="1" applyBorder="1" applyAlignment="1" applyProtection="1">
      <alignment horizontal="center"/>
      <protection hidden="1"/>
    </xf>
    <xf numFmtId="168" fontId="7" fillId="7" borderId="101" xfId="1" applyNumberFormat="1" applyFont="1" applyFill="1" applyBorder="1" applyAlignment="1" applyProtection="1">
      <alignment horizontal="center"/>
      <protection hidden="1"/>
    </xf>
    <xf numFmtId="171" fontId="0" fillId="7" borderId="83" xfId="0" applyNumberFormat="1" applyFill="1" applyBorder="1" applyAlignment="1" applyProtection="1">
      <alignment horizontal="center"/>
      <protection hidden="1"/>
    </xf>
    <xf numFmtId="171" fontId="0" fillId="7" borderId="84" xfId="0" applyNumberFormat="1" applyFill="1" applyBorder="1" applyAlignment="1" applyProtection="1">
      <alignment horizontal="center"/>
      <protection hidden="1"/>
    </xf>
    <xf numFmtId="171" fontId="0" fillId="7" borderId="85" xfId="0" applyNumberFormat="1" applyFill="1" applyBorder="1" applyAlignment="1" applyProtection="1">
      <alignment horizontal="center"/>
      <protection hidden="1"/>
    </xf>
    <xf numFmtId="168" fontId="7" fillId="7" borderId="86" xfId="1" applyNumberFormat="1" applyFont="1" applyFill="1" applyBorder="1" applyAlignment="1" applyProtection="1">
      <alignment horizontal="center"/>
      <protection hidden="1"/>
    </xf>
    <xf numFmtId="171" fontId="0" fillId="7" borderId="89" xfId="0" applyNumberFormat="1" applyFill="1" applyBorder="1" applyAlignment="1" applyProtection="1">
      <alignment horizontal="center"/>
      <protection hidden="1"/>
    </xf>
    <xf numFmtId="170" fontId="0" fillId="0" borderId="41" xfId="0" applyNumberFormat="1" applyBorder="1" applyAlignment="1" applyProtection="1">
      <alignment horizontal="center"/>
      <protection hidden="1"/>
    </xf>
    <xf numFmtId="170" fontId="3" fillId="9" borderId="10" xfId="0" applyNumberFormat="1" applyFont="1" applyFill="1" applyBorder="1" applyAlignment="1" applyProtection="1">
      <alignment horizontal="center"/>
      <protection hidden="1"/>
    </xf>
    <xf numFmtId="170" fontId="0" fillId="22" borderId="2" xfId="0" applyNumberFormat="1" applyFill="1" applyBorder="1" applyAlignment="1" applyProtection="1">
      <alignment horizontal="center"/>
      <protection hidden="1"/>
    </xf>
    <xf numFmtId="170" fontId="3" fillId="22" borderId="3" xfId="0" applyNumberFormat="1" applyFont="1" applyFill="1" applyBorder="1" applyAlignment="1" applyProtection="1">
      <alignment horizontal="center"/>
      <protection hidden="1"/>
    </xf>
    <xf numFmtId="170" fontId="0" fillId="0" borderId="8" xfId="0" applyNumberFormat="1" applyBorder="1" applyAlignment="1" applyProtection="1">
      <alignment horizontal="center"/>
      <protection hidden="1"/>
    </xf>
    <xf numFmtId="170" fontId="0" fillId="0" borderId="9" xfId="0" applyNumberFormat="1" applyBorder="1" applyAlignment="1" applyProtection="1">
      <alignment horizontal="center"/>
      <protection hidden="1"/>
    </xf>
    <xf numFmtId="170" fontId="0" fillId="0" borderId="23" xfId="0" applyNumberFormat="1" applyBorder="1" applyAlignment="1" applyProtection="1">
      <alignment horizontal="center"/>
      <protection hidden="1"/>
    </xf>
    <xf numFmtId="170" fontId="0" fillId="0" borderId="24" xfId="0" applyNumberFormat="1" applyBorder="1" applyAlignment="1" applyProtection="1">
      <alignment horizontal="center"/>
      <protection hidden="1"/>
    </xf>
    <xf numFmtId="170" fontId="0" fillId="5" borderId="8" xfId="0" applyNumberFormat="1" applyFill="1" applyBorder="1" applyAlignment="1" applyProtection="1">
      <alignment horizontal="center"/>
      <protection hidden="1"/>
    </xf>
    <xf numFmtId="170" fontId="0" fillId="22" borderId="5" xfId="0" applyNumberFormat="1" applyFill="1" applyBorder="1" applyAlignment="1" applyProtection="1">
      <alignment horizontal="center"/>
      <protection hidden="1"/>
    </xf>
    <xf numFmtId="170" fontId="3" fillId="22" borderId="6" xfId="0" applyNumberFormat="1" applyFont="1" applyFill="1" applyBorder="1" applyAlignment="1" applyProtection="1">
      <alignment horizontal="center"/>
      <protection hidden="1"/>
    </xf>
    <xf numFmtId="170" fontId="0" fillId="5" borderId="17" xfId="0" applyNumberFormat="1" applyFill="1" applyBorder="1" applyAlignment="1" applyProtection="1">
      <alignment horizontal="center"/>
      <protection hidden="1"/>
    </xf>
    <xf numFmtId="170" fontId="0" fillId="5" borderId="40" xfId="0" applyNumberFormat="1" applyFill="1" applyBorder="1" applyAlignment="1" applyProtection="1">
      <alignment horizontal="center"/>
      <protection hidden="1"/>
    </xf>
    <xf numFmtId="170" fontId="0" fillId="5" borderId="70" xfId="0" applyNumberFormat="1" applyFill="1" applyBorder="1" applyAlignment="1" applyProtection="1">
      <alignment horizontal="center"/>
      <protection hidden="1"/>
    </xf>
    <xf numFmtId="170" fontId="0" fillId="5" borderId="31" xfId="0" applyNumberFormat="1" applyFill="1" applyBorder="1" applyAlignment="1" applyProtection="1">
      <alignment horizontal="center"/>
      <protection hidden="1"/>
    </xf>
    <xf numFmtId="170" fontId="0" fillId="22" borderId="12" xfId="0" applyNumberFormat="1" applyFill="1" applyBorder="1" applyAlignment="1" applyProtection="1">
      <alignment horizontal="center"/>
      <protection hidden="1"/>
    </xf>
    <xf numFmtId="170" fontId="0" fillId="5" borderId="19" xfId="0" applyNumberFormat="1" applyFill="1" applyBorder="1" applyAlignment="1" applyProtection="1">
      <alignment horizontal="center"/>
      <protection hidden="1"/>
    </xf>
    <xf numFmtId="170" fontId="0" fillId="5" borderId="9" xfId="0" applyNumberFormat="1" applyFill="1" applyBorder="1" applyAlignment="1" applyProtection="1">
      <alignment horizontal="center"/>
      <protection hidden="1"/>
    </xf>
    <xf numFmtId="170" fontId="0" fillId="7" borderId="10" xfId="0" applyNumberFormat="1" applyFill="1" applyBorder="1" applyAlignment="1" applyProtection="1">
      <alignment horizontal="center"/>
      <protection hidden="1"/>
    </xf>
    <xf numFmtId="170" fontId="0" fillId="7" borderId="20" xfId="0" applyNumberFormat="1" applyFill="1" applyBorder="1" applyAlignment="1" applyProtection="1">
      <alignment horizontal="center"/>
      <protection hidden="1"/>
    </xf>
    <xf numFmtId="170" fontId="3" fillId="7" borderId="20" xfId="0" applyNumberFormat="1" applyFont="1" applyFill="1" applyBorder="1" applyAlignment="1" applyProtection="1">
      <alignment horizontal="center"/>
      <protection hidden="1"/>
    </xf>
    <xf numFmtId="170" fontId="3" fillId="7" borderId="25" xfId="0" applyNumberFormat="1" applyFont="1" applyFill="1" applyBorder="1" applyAlignment="1" applyProtection="1">
      <alignment horizontal="center"/>
      <protection hidden="1"/>
    </xf>
    <xf numFmtId="170" fontId="3" fillId="10" borderId="39" xfId="0" applyNumberFormat="1" applyFont="1" applyFill="1" applyBorder="1" applyAlignment="1" applyProtection="1">
      <alignment horizontal="center"/>
      <protection hidden="1"/>
    </xf>
    <xf numFmtId="0" fontId="0" fillId="22" borderId="1" xfId="0" applyFill="1" applyBorder="1" applyAlignment="1" applyProtection="1">
      <alignment horizontal="right"/>
      <protection hidden="1"/>
    </xf>
    <xf numFmtId="0" fontId="0" fillId="22" borderId="2" xfId="0" applyFill="1" applyBorder="1" applyAlignment="1" applyProtection="1">
      <alignment horizontal="right"/>
      <protection hidden="1"/>
    </xf>
    <xf numFmtId="0" fontId="0" fillId="22" borderId="3" xfId="0" applyFill="1" applyBorder="1" applyAlignment="1" applyProtection="1">
      <alignment horizontal="right"/>
      <protection hidden="1"/>
    </xf>
    <xf numFmtId="0" fontId="0" fillId="0" borderId="0" xfId="0" applyAlignment="1">
      <alignment horizontal="center"/>
    </xf>
    <xf numFmtId="0" fontId="17" fillId="6" borderId="61" xfId="0" applyFont="1" applyFill="1" applyBorder="1" applyAlignment="1" applyProtection="1">
      <alignment horizontal="right"/>
      <protection hidden="1"/>
    </xf>
    <xf numFmtId="170" fontId="0" fillId="5" borderId="38" xfId="0" applyNumberFormat="1" applyFill="1" applyBorder="1" applyAlignment="1" applyProtection="1">
      <alignment horizontal="center"/>
      <protection hidden="1"/>
    </xf>
    <xf numFmtId="170" fontId="0" fillId="5" borderId="57" xfId="0" applyNumberFormat="1" applyFill="1" applyBorder="1" applyAlignment="1" applyProtection="1">
      <alignment horizontal="center"/>
      <protection hidden="1"/>
    </xf>
    <xf numFmtId="170" fontId="0" fillId="5" borderId="61" xfId="0" applyNumberFormat="1" applyFill="1" applyBorder="1" applyAlignment="1" applyProtection="1">
      <alignment horizontal="center"/>
      <protection hidden="1"/>
    </xf>
    <xf numFmtId="170" fontId="3" fillId="3" borderId="39" xfId="0" applyNumberFormat="1" applyFont="1" applyFill="1" applyBorder="1" applyAlignment="1" applyProtection="1">
      <alignment horizontal="center"/>
      <protection hidden="1"/>
    </xf>
    <xf numFmtId="170" fontId="3" fillId="21" borderId="39" xfId="0" applyNumberFormat="1" applyFont="1" applyFill="1" applyBorder="1" applyAlignment="1" applyProtection="1">
      <alignment horizontal="center"/>
      <protection hidden="1"/>
    </xf>
    <xf numFmtId="0" fontId="3" fillId="27" borderId="7" xfId="0" applyFont="1" applyFill="1" applyBorder="1" applyAlignment="1" applyProtection="1">
      <alignment horizontal="center"/>
      <protection hidden="1"/>
    </xf>
    <xf numFmtId="170" fontId="3" fillId="27" borderId="23" xfId="0" applyNumberFormat="1" applyFont="1" applyFill="1" applyBorder="1" applyAlignment="1" applyProtection="1">
      <alignment horizontal="center"/>
      <protection hidden="1"/>
    </xf>
    <xf numFmtId="170" fontId="3" fillId="27" borderId="24" xfId="0" applyNumberFormat="1" applyFont="1" applyFill="1" applyBorder="1" applyAlignment="1" applyProtection="1">
      <alignment horizontal="center"/>
      <protection hidden="1"/>
    </xf>
    <xf numFmtId="170" fontId="3" fillId="27" borderId="39" xfId="0" applyNumberFormat="1" applyFont="1" applyFill="1" applyBorder="1" applyAlignment="1" applyProtection="1">
      <alignment horizontal="center"/>
      <protection hidden="1"/>
    </xf>
    <xf numFmtId="170" fontId="3" fillId="17" borderId="25" xfId="0" applyNumberFormat="1" applyFont="1" applyFill="1" applyBorder="1" applyAlignment="1" applyProtection="1">
      <alignment horizontal="center"/>
      <protection hidden="1"/>
    </xf>
    <xf numFmtId="0" fontId="0" fillId="2" borderId="52" xfId="0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55" xfId="0" applyFill="1" applyBorder="1" applyAlignment="1" applyProtection="1">
      <alignment horizontal="center" vertical="center"/>
      <protection locked="0"/>
    </xf>
    <xf numFmtId="0" fontId="0" fillId="2" borderId="46" xfId="0" applyFill="1" applyBorder="1" applyAlignment="1" applyProtection="1">
      <alignment horizontal="center" vertical="center"/>
      <protection locked="0"/>
    </xf>
    <xf numFmtId="0" fontId="0" fillId="2" borderId="45" xfId="0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72" xfId="0" applyFill="1" applyBorder="1" applyAlignment="1" applyProtection="1">
      <alignment horizontal="center" vertical="center"/>
      <protection locked="0"/>
    </xf>
    <xf numFmtId="0" fontId="0" fillId="2" borderId="93" xfId="0" applyFill="1" applyBorder="1" applyAlignment="1" applyProtection="1">
      <alignment horizontal="center" vertical="center"/>
      <protection locked="0"/>
    </xf>
    <xf numFmtId="0" fontId="0" fillId="2" borderId="97" xfId="0" applyFill="1" applyBorder="1" applyAlignment="1" applyProtection="1">
      <alignment horizontal="center" vertical="center"/>
      <protection locked="0"/>
    </xf>
    <xf numFmtId="168" fontId="0" fillId="2" borderId="19" xfId="1" applyNumberFormat="1" applyFont="1" applyFill="1" applyBorder="1" applyAlignment="1" applyProtection="1">
      <alignment horizontal="center" vertical="top"/>
      <protection locked="0"/>
    </xf>
    <xf numFmtId="168" fontId="0" fillId="2" borderId="9" xfId="1" applyNumberFormat="1" applyFont="1" applyFill="1" applyBorder="1" applyAlignment="1" applyProtection="1">
      <alignment horizontal="center" vertical="top"/>
      <protection locked="0"/>
    </xf>
    <xf numFmtId="168" fontId="0" fillId="2" borderId="35" xfId="1" applyNumberFormat="1" applyFont="1" applyFill="1" applyBorder="1" applyAlignment="1" applyProtection="1">
      <alignment horizontal="center" vertical="top"/>
      <protection locked="0"/>
    </xf>
    <xf numFmtId="168" fontId="0" fillId="2" borderId="24" xfId="1" applyNumberFormat="1" applyFont="1" applyFill="1" applyBorder="1" applyAlignment="1" applyProtection="1">
      <alignment horizontal="center" vertical="top"/>
      <protection locked="0"/>
    </xf>
    <xf numFmtId="0" fontId="0" fillId="2" borderId="110" xfId="0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3" fillId="24" borderId="10" xfId="0" applyFont="1" applyFill="1" applyBorder="1" applyAlignment="1" applyProtection="1">
      <alignment vertical="center"/>
      <protection hidden="1"/>
    </xf>
    <xf numFmtId="0" fontId="3" fillId="24" borderId="25" xfId="0" applyFont="1" applyFill="1" applyBorder="1" applyAlignment="1" applyProtection="1">
      <alignment horizontal="right" vertical="center"/>
      <protection hidden="1"/>
    </xf>
    <xf numFmtId="0" fontId="39" fillId="24" borderId="20" xfId="0" applyFont="1" applyFill="1" applyBorder="1" applyAlignment="1" applyProtection="1">
      <alignment horizontal="right" vertical="center"/>
      <protection hidden="1"/>
    </xf>
    <xf numFmtId="0" fontId="3" fillId="0" borderId="10" xfId="0" applyFont="1" applyBorder="1" applyProtection="1">
      <protection hidden="1"/>
    </xf>
    <xf numFmtId="0" fontId="3" fillId="0" borderId="10" xfId="0" applyFont="1" applyBorder="1" applyAlignment="1" applyProtection="1">
      <alignment horizontal="center" wrapText="1"/>
      <protection hidden="1"/>
    </xf>
    <xf numFmtId="0" fontId="0" fillId="0" borderId="8" xfId="0" applyBorder="1" applyProtection="1">
      <protection hidden="1"/>
    </xf>
    <xf numFmtId="170" fontId="3" fillId="28" borderId="25" xfId="0" applyNumberFormat="1" applyFont="1" applyFill="1" applyBorder="1" applyAlignment="1" applyProtection="1">
      <alignment horizontal="center"/>
      <protection hidden="1"/>
    </xf>
    <xf numFmtId="170" fontId="3" fillId="16" borderId="39" xfId="0" applyNumberFormat="1" applyFont="1" applyFill="1" applyBorder="1" applyAlignment="1" applyProtection="1">
      <alignment horizontal="center"/>
      <protection hidden="1"/>
    </xf>
    <xf numFmtId="0" fontId="0" fillId="0" borderId="32" xfId="0" applyBorder="1" applyAlignment="1" applyProtection="1">
      <alignment wrapText="1"/>
      <protection hidden="1"/>
    </xf>
    <xf numFmtId="0" fontId="3" fillId="0" borderId="10" xfId="0" applyFont="1" applyBorder="1" applyAlignment="1" applyProtection="1">
      <alignment wrapText="1"/>
      <protection hidden="1"/>
    </xf>
    <xf numFmtId="0" fontId="3" fillId="0" borderId="39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168" fontId="0" fillId="7" borderId="10" xfId="0" applyNumberFormat="1" applyFill="1" applyBorder="1" applyProtection="1">
      <protection hidden="1"/>
    </xf>
    <xf numFmtId="168" fontId="0" fillId="7" borderId="20" xfId="0" applyNumberFormat="1" applyFill="1" applyBorder="1" applyProtection="1">
      <protection hidden="1"/>
    </xf>
    <xf numFmtId="168" fontId="0" fillId="7" borderId="56" xfId="0" applyNumberFormat="1" applyFill="1" applyBorder="1" applyProtection="1">
      <protection hidden="1"/>
    </xf>
    <xf numFmtId="168" fontId="0" fillId="7" borderId="25" xfId="0" applyNumberFormat="1" applyFill="1" applyBorder="1" applyProtection="1"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0" fontId="3" fillId="0" borderId="5" xfId="0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3" fillId="27" borderId="1" xfId="0" applyFont="1" applyFill="1" applyBorder="1" applyProtection="1">
      <protection hidden="1"/>
    </xf>
    <xf numFmtId="0" fontId="0" fillId="6" borderId="29" xfId="0" applyFill="1" applyBorder="1" applyProtection="1">
      <protection hidden="1"/>
    </xf>
    <xf numFmtId="164" fontId="0" fillId="2" borderId="38" xfId="0" applyNumberFormat="1" applyFill="1" applyBorder="1" applyAlignment="1" applyProtection="1">
      <alignment horizontal="center" vertical="center"/>
      <protection locked="0"/>
    </xf>
    <xf numFmtId="164" fontId="0" fillId="2" borderId="61" xfId="0" applyNumberFormat="1" applyFill="1" applyBorder="1" applyAlignment="1" applyProtection="1">
      <alignment vertical="center"/>
      <protection locked="0"/>
    </xf>
    <xf numFmtId="164" fontId="0" fillId="2" borderId="61" xfId="0" applyNumberFormat="1" applyFill="1" applyBorder="1" applyAlignment="1" applyProtection="1">
      <alignment horizontal="right" vertical="center"/>
      <protection locked="0"/>
    </xf>
    <xf numFmtId="0" fontId="0" fillId="0" borderId="9" xfId="0" applyBorder="1" applyProtection="1">
      <protection hidden="1"/>
    </xf>
    <xf numFmtId="0" fontId="0" fillId="0" borderId="24" xfId="0" applyBorder="1" applyProtection="1">
      <protection hidden="1"/>
    </xf>
    <xf numFmtId="0" fontId="3" fillId="0" borderId="1" xfId="0" applyFont="1" applyBorder="1" applyAlignment="1" applyProtection="1">
      <alignment horizontal="right"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right" vertical="center"/>
      <protection hidden="1"/>
    </xf>
    <xf numFmtId="0" fontId="3" fillId="2" borderId="5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Protection="1">
      <protection hidden="1"/>
    </xf>
    <xf numFmtId="0" fontId="5" fillId="0" borderId="2" xfId="0" applyFont="1" applyBorder="1" applyProtection="1">
      <protection hidden="1"/>
    </xf>
    <xf numFmtId="0" fontId="5" fillId="0" borderId="3" xfId="0" applyFont="1" applyBorder="1" applyProtection="1">
      <protection hidden="1"/>
    </xf>
    <xf numFmtId="0" fontId="3" fillId="0" borderId="18" xfId="0" applyFont="1" applyBorder="1" applyAlignment="1" applyProtection="1">
      <alignment horizontal="right" vertic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5" xfId="0" applyBorder="1" applyProtection="1">
      <protection hidden="1"/>
    </xf>
    <xf numFmtId="0" fontId="0" fillId="7" borderId="4" xfId="0" applyFill="1" applyBorder="1" applyProtection="1">
      <protection hidden="1"/>
    </xf>
    <xf numFmtId="0" fontId="0" fillId="7" borderId="0" xfId="0" applyFill="1" applyAlignment="1" applyProtection="1">
      <alignment horizontal="center"/>
      <protection hidden="1"/>
    </xf>
    <xf numFmtId="0" fontId="6" fillId="0" borderId="1" xfId="0" applyFont="1" applyBorder="1" applyProtection="1">
      <protection hidden="1"/>
    </xf>
    <xf numFmtId="0" fontId="6" fillId="0" borderId="2" xfId="0" applyFont="1" applyBorder="1" applyProtection="1">
      <protection hidden="1"/>
    </xf>
    <xf numFmtId="0" fontId="6" fillId="0" borderId="3" xfId="0" applyFont="1" applyBorder="1" applyProtection="1">
      <protection hidden="1"/>
    </xf>
    <xf numFmtId="0" fontId="0" fillId="0" borderId="4" xfId="0" applyBorder="1" applyProtection="1">
      <protection hidden="1"/>
    </xf>
    <xf numFmtId="0" fontId="0" fillId="18" borderId="41" xfId="0" applyFill="1" applyBorder="1" applyProtection="1">
      <protection hidden="1"/>
    </xf>
    <xf numFmtId="0" fontId="0" fillId="18" borderId="10" xfId="0" applyFill="1" applyBorder="1" applyProtection="1">
      <protection hidden="1"/>
    </xf>
    <xf numFmtId="0" fontId="0" fillId="4" borderId="0" xfId="0" applyFill="1" applyProtection="1">
      <protection hidden="1"/>
    </xf>
    <xf numFmtId="0" fontId="0" fillId="7" borderId="14" xfId="0" applyFill="1" applyBorder="1" applyProtection="1"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6" fillId="20" borderId="10" xfId="0" applyFont="1" applyFill="1" applyBorder="1" applyAlignment="1" applyProtection="1">
      <alignment horizontal="center"/>
      <protection hidden="1"/>
    </xf>
    <xf numFmtId="0" fontId="6" fillId="0" borderId="32" xfId="0" applyFont="1" applyBorder="1" applyAlignment="1" applyProtection="1">
      <alignment horizontal="center"/>
      <protection hidden="1"/>
    </xf>
    <xf numFmtId="0" fontId="6" fillId="0" borderId="39" xfId="0" applyFont="1" applyBorder="1" applyAlignment="1" applyProtection="1">
      <alignment horizontal="center"/>
      <protection hidden="1"/>
    </xf>
    <xf numFmtId="0" fontId="6" fillId="0" borderId="50" xfId="0" applyFont="1" applyBorder="1" applyAlignment="1" applyProtection="1">
      <alignment horizontal="center"/>
      <protection hidden="1"/>
    </xf>
    <xf numFmtId="0" fontId="0" fillId="0" borderId="18" xfId="0" applyBorder="1" applyProtection="1">
      <protection hidden="1"/>
    </xf>
    <xf numFmtId="0" fontId="0" fillId="0" borderId="108" xfId="0" applyBorder="1" applyProtection="1">
      <protection hidden="1"/>
    </xf>
    <xf numFmtId="0" fontId="0" fillId="9" borderId="0" xfId="0" applyFill="1" applyProtection="1">
      <protection hidden="1"/>
    </xf>
    <xf numFmtId="0" fontId="0" fillId="10" borderId="0" xfId="0" applyFill="1" applyProtection="1">
      <protection hidden="1"/>
    </xf>
    <xf numFmtId="0" fontId="0" fillId="17" borderId="0" xfId="0" applyFill="1" applyProtection="1">
      <protection hidden="1"/>
    </xf>
    <xf numFmtId="0" fontId="0" fillId="0" borderId="20" xfId="0" applyBorder="1" applyProtection="1">
      <protection hidden="1"/>
    </xf>
    <xf numFmtId="0" fontId="0" fillId="4" borderId="28" xfId="0" applyFill="1" applyBorder="1" applyProtection="1">
      <protection hidden="1"/>
    </xf>
    <xf numFmtId="0" fontId="0" fillId="9" borderId="28" xfId="0" applyFill="1" applyBorder="1" applyProtection="1">
      <protection hidden="1"/>
    </xf>
    <xf numFmtId="0" fontId="0" fillId="10" borderId="28" xfId="0" applyFill="1" applyBorder="1" applyProtection="1">
      <protection hidden="1"/>
    </xf>
    <xf numFmtId="0" fontId="0" fillId="17" borderId="29" xfId="0" applyFill="1" applyBorder="1" applyProtection="1">
      <protection hidden="1"/>
    </xf>
    <xf numFmtId="0" fontId="0" fillId="0" borderId="39" xfId="0" applyBorder="1" applyAlignment="1" applyProtection="1">
      <alignment horizontal="right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top"/>
      <protection hidden="1"/>
    </xf>
    <xf numFmtId="0" fontId="0" fillId="20" borderId="39" xfId="0" applyFill="1" applyBorder="1" applyAlignment="1" applyProtection="1">
      <alignment horizontal="center" vertical="top"/>
      <protection hidden="1"/>
    </xf>
    <xf numFmtId="0" fontId="0" fillId="0" borderId="27" xfId="0" applyBorder="1" applyAlignment="1" applyProtection="1">
      <alignment horizontal="center" vertical="top"/>
      <protection hidden="1"/>
    </xf>
    <xf numFmtId="0" fontId="0" fillId="0" borderId="43" xfId="0" applyBorder="1" applyAlignment="1" applyProtection="1">
      <alignment horizontal="center" vertical="top"/>
      <protection hidden="1"/>
    </xf>
    <xf numFmtId="0" fontId="0" fillId="0" borderId="42" xfId="0" applyBorder="1" applyAlignment="1" applyProtection="1">
      <alignment horizontal="center" vertical="top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37" xfId="0" applyBorder="1" applyAlignment="1" applyProtection="1">
      <alignment horizontal="center" vertical="top"/>
      <protection hidden="1"/>
    </xf>
    <xf numFmtId="0" fontId="0" fillId="20" borderId="57" xfId="0" applyFill="1" applyBorder="1" applyAlignment="1" applyProtection="1">
      <alignment horizontal="center" vertical="top"/>
      <protection hidden="1"/>
    </xf>
    <xf numFmtId="0" fontId="0" fillId="0" borderId="40" xfId="0" applyBorder="1" applyAlignment="1" applyProtection="1">
      <alignment horizontal="center" vertical="top"/>
      <protection hidden="1"/>
    </xf>
    <xf numFmtId="0" fontId="0" fillId="0" borderId="17" xfId="0" applyBorder="1" applyAlignment="1" applyProtection="1">
      <alignment horizontal="center" vertical="top"/>
      <protection hidden="1"/>
    </xf>
    <xf numFmtId="0" fontId="0" fillId="17" borderId="28" xfId="0" applyFill="1" applyBorder="1" applyProtection="1"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0" fillId="0" borderId="30" xfId="0" applyBorder="1" applyAlignment="1" applyProtection="1">
      <alignment horizontal="center" vertical="top"/>
      <protection hidden="1"/>
    </xf>
    <xf numFmtId="0" fontId="0" fillId="20" borderId="59" xfId="0" applyFill="1" applyBorder="1" applyAlignment="1" applyProtection="1">
      <alignment horizontal="center" vertical="top"/>
      <protection hidden="1"/>
    </xf>
    <xf numFmtId="0" fontId="0" fillId="0" borderId="30" xfId="0" applyBorder="1" applyAlignment="1" applyProtection="1">
      <alignment horizontal="center"/>
      <protection hidden="1"/>
    </xf>
    <xf numFmtId="0" fontId="0" fillId="0" borderId="31" xfId="0" applyBorder="1" applyAlignment="1" applyProtection="1">
      <alignment horizontal="center"/>
      <protection hidden="1"/>
    </xf>
    <xf numFmtId="0" fontId="0" fillId="0" borderId="14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126" xfId="0" applyBorder="1" applyProtection="1">
      <protection hidden="1"/>
    </xf>
    <xf numFmtId="0" fontId="0" fillId="29" borderId="41" xfId="0" applyFill="1" applyBorder="1" applyProtection="1">
      <protection hidden="1"/>
    </xf>
    <xf numFmtId="0" fontId="0" fillId="2" borderId="0" xfId="0" applyFill="1" applyProtection="1">
      <protection hidden="1"/>
    </xf>
    <xf numFmtId="0" fontId="0" fillId="0" borderId="32" xfId="0" applyBorder="1" applyProtection="1">
      <protection hidden="1"/>
    </xf>
    <xf numFmtId="0" fontId="3" fillId="0" borderId="18" xfId="0" applyFont="1" applyBorder="1" applyProtection="1">
      <protection hidden="1"/>
    </xf>
    <xf numFmtId="0" fontId="0" fillId="29" borderId="71" xfId="0" applyFill="1" applyBorder="1" applyProtection="1">
      <protection hidden="1"/>
    </xf>
    <xf numFmtId="0" fontId="0" fillId="4" borderId="82" xfId="0" applyFill="1" applyBorder="1" applyProtection="1">
      <protection hidden="1"/>
    </xf>
    <xf numFmtId="0" fontId="0" fillId="9" borderId="82" xfId="0" applyFill="1" applyBorder="1" applyProtection="1">
      <protection hidden="1"/>
    </xf>
    <xf numFmtId="0" fontId="0" fillId="10" borderId="82" xfId="0" applyFill="1" applyBorder="1" applyProtection="1">
      <protection hidden="1"/>
    </xf>
    <xf numFmtId="0" fontId="0" fillId="17" borderId="69" xfId="0" applyFill="1" applyBorder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0" fillId="7" borderId="36" xfId="0" applyFill="1" applyBorder="1" applyAlignment="1" applyProtection="1">
      <alignment horizontal="center" vertical="top"/>
      <protection hidden="1"/>
    </xf>
    <xf numFmtId="0" fontId="0" fillId="7" borderId="57" xfId="0" applyFill="1" applyBorder="1" applyAlignment="1" applyProtection="1">
      <alignment horizontal="center" vertical="top"/>
      <protection hidden="1"/>
    </xf>
    <xf numFmtId="0" fontId="0" fillId="7" borderId="40" xfId="0" applyFill="1" applyBorder="1" applyAlignment="1" applyProtection="1">
      <alignment horizontal="center" vertical="top"/>
      <protection hidden="1"/>
    </xf>
    <xf numFmtId="0" fontId="0" fillId="7" borderId="17" xfId="0" applyFill="1" applyBorder="1" applyAlignment="1" applyProtection="1">
      <alignment horizontal="center" vertical="top"/>
      <protection hidden="1"/>
    </xf>
    <xf numFmtId="0" fontId="0" fillId="29" borderId="126" xfId="0" applyFill="1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 vertical="top"/>
      <protection hidden="1"/>
    </xf>
    <xf numFmtId="0" fontId="0" fillId="20" borderId="20" xfId="0" applyFill="1" applyBorder="1" applyAlignment="1" applyProtection="1">
      <alignment horizontal="center" vertical="top"/>
      <protection hidden="1"/>
    </xf>
    <xf numFmtId="164" fontId="0" fillId="0" borderId="8" xfId="1" applyNumberFormat="1" applyFont="1" applyBorder="1" applyProtection="1">
      <protection hidden="1"/>
    </xf>
    <xf numFmtId="0" fontId="0" fillId="7" borderId="28" xfId="0" applyFill="1" applyBorder="1" applyProtection="1">
      <protection hidden="1"/>
    </xf>
    <xf numFmtId="0" fontId="3" fillId="0" borderId="28" xfId="0" applyFont="1" applyBorder="1" applyProtection="1">
      <protection hidden="1"/>
    </xf>
    <xf numFmtId="0" fontId="3" fillId="2" borderId="28" xfId="0" applyFont="1" applyFill="1" applyBorder="1" applyAlignment="1" applyProtection="1">
      <alignment horizontal="center"/>
      <protection hidden="1"/>
    </xf>
    <xf numFmtId="0" fontId="0" fillId="0" borderId="29" xfId="0" applyBorder="1" applyProtection="1">
      <protection hidden="1"/>
    </xf>
    <xf numFmtId="0" fontId="0" fillId="0" borderId="51" xfId="0" applyBorder="1" applyAlignment="1" applyProtection="1">
      <alignment horizontal="center" vertical="top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0" fillId="18" borderId="11" xfId="0" applyFill="1" applyBorder="1" applyProtection="1">
      <protection hidden="1"/>
    </xf>
    <xf numFmtId="0" fontId="0" fillId="0" borderId="39" xfId="0" applyBorder="1" applyAlignment="1" applyProtection="1">
      <alignment horizontal="right" vertical="center"/>
      <protection hidden="1"/>
    </xf>
    <xf numFmtId="0" fontId="0" fillId="0" borderId="12" xfId="0" applyBorder="1" applyAlignment="1" applyProtection="1">
      <alignment horizontal="center" vertical="top"/>
      <protection hidden="1"/>
    </xf>
    <xf numFmtId="0" fontId="0" fillId="17" borderId="32" xfId="0" applyFill="1" applyBorder="1" applyProtection="1">
      <protection hidden="1"/>
    </xf>
    <xf numFmtId="0" fontId="0" fillId="0" borderId="107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0" fontId="0" fillId="0" borderId="39" xfId="0" applyBorder="1" applyAlignment="1" applyProtection="1">
      <alignment horizontal="center"/>
      <protection hidden="1"/>
    </xf>
    <xf numFmtId="0" fontId="0" fillId="4" borderId="126" xfId="0" applyFill="1" applyBorder="1" applyProtection="1">
      <protection hidden="1"/>
    </xf>
    <xf numFmtId="0" fontId="0" fillId="4" borderId="127" xfId="0" applyFill="1" applyBorder="1" applyProtection="1">
      <protection hidden="1"/>
    </xf>
    <xf numFmtId="0" fontId="0" fillId="4" borderId="33" xfId="0" applyFill="1" applyBorder="1" applyProtection="1">
      <protection hidden="1"/>
    </xf>
    <xf numFmtId="0" fontId="0" fillId="4" borderId="32" xfId="0" applyFill="1" applyBorder="1" applyProtection="1">
      <protection hidden="1"/>
    </xf>
    <xf numFmtId="0" fontId="0" fillId="4" borderId="20" xfId="0" applyFill="1" applyBorder="1" applyProtection="1">
      <protection hidden="1"/>
    </xf>
    <xf numFmtId="0" fontId="0" fillId="7" borderId="30" xfId="0" applyFill="1" applyBorder="1" applyAlignment="1" applyProtection="1">
      <alignment horizontal="center" vertical="top"/>
      <protection hidden="1"/>
    </xf>
    <xf numFmtId="0" fontId="0" fillId="7" borderId="59" xfId="0" applyFill="1" applyBorder="1" applyAlignment="1" applyProtection="1">
      <alignment horizontal="center" vertical="top"/>
      <protection hidden="1"/>
    </xf>
    <xf numFmtId="0" fontId="0" fillId="7" borderId="31" xfId="0" applyFill="1" applyBorder="1" applyAlignment="1" applyProtection="1">
      <alignment horizontal="center"/>
      <protection hidden="1"/>
    </xf>
    <xf numFmtId="0" fontId="0" fillId="7" borderId="23" xfId="0" applyFill="1" applyBorder="1" applyAlignment="1" applyProtection="1">
      <alignment horizontal="center"/>
      <protection hidden="1"/>
    </xf>
    <xf numFmtId="0" fontId="0" fillId="0" borderId="28" xfId="0" applyBorder="1" applyAlignment="1" applyProtection="1">
      <alignment horizontal="right"/>
      <protection hidden="1"/>
    </xf>
    <xf numFmtId="0" fontId="0" fillId="9" borderId="108" xfId="0" applyFill="1" applyBorder="1" applyProtection="1">
      <protection hidden="1"/>
    </xf>
    <xf numFmtId="0" fontId="0" fillId="9" borderId="109" xfId="0" applyFill="1" applyBorder="1" applyProtection="1">
      <protection hidden="1"/>
    </xf>
    <xf numFmtId="0" fontId="0" fillId="9" borderId="45" xfId="0" applyFill="1" applyBorder="1" applyProtection="1">
      <protection hidden="1"/>
    </xf>
    <xf numFmtId="0" fontId="0" fillId="9" borderId="29" xfId="0" applyFill="1" applyBorder="1" applyProtection="1">
      <protection hidden="1"/>
    </xf>
    <xf numFmtId="0" fontId="0" fillId="9" borderId="25" xfId="0" applyFill="1" applyBorder="1" applyProtection="1">
      <protection hidden="1"/>
    </xf>
    <xf numFmtId="0" fontId="0" fillId="2" borderId="6" xfId="0" applyFill="1" applyBorder="1" applyProtection="1">
      <protection hidden="1"/>
    </xf>
    <xf numFmtId="0" fontId="0" fillId="7" borderId="51" xfId="0" applyFill="1" applyBorder="1" applyAlignment="1" applyProtection="1">
      <alignment horizontal="center" vertical="top"/>
      <protection hidden="1"/>
    </xf>
    <xf numFmtId="0" fontId="0" fillId="2" borderId="32" xfId="0" applyFill="1" applyBorder="1" applyProtection="1">
      <protection hidden="1"/>
    </xf>
    <xf numFmtId="0" fontId="0" fillId="0" borderId="36" xfId="0" applyBorder="1" applyAlignment="1" applyProtection="1">
      <alignment horizontal="center" vertical="top"/>
      <protection hidden="1"/>
    </xf>
    <xf numFmtId="0" fontId="0" fillId="0" borderId="39" xfId="0" applyBorder="1" applyAlignment="1" applyProtection="1">
      <alignment horizontal="center" vertical="top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7" borderId="32" xfId="0" applyFill="1" applyBorder="1" applyProtection="1">
      <protection hidden="1"/>
    </xf>
    <xf numFmtId="0" fontId="0" fillId="23" borderId="39" xfId="0" applyFill="1" applyBorder="1" applyAlignment="1" applyProtection="1">
      <alignment horizontal="right" vertical="center"/>
      <protection hidden="1"/>
    </xf>
    <xf numFmtId="0" fontId="6" fillId="23" borderId="39" xfId="0" applyFont="1" applyFill="1" applyBorder="1" applyAlignment="1" applyProtection="1">
      <alignment horizontal="center" vertical="center"/>
      <protection hidden="1"/>
    </xf>
    <xf numFmtId="0" fontId="0" fillId="23" borderId="1" xfId="0" applyFill="1" applyBorder="1" applyAlignment="1" applyProtection="1">
      <alignment horizontal="center" vertical="top"/>
      <protection hidden="1"/>
    </xf>
    <xf numFmtId="0" fontId="0" fillId="23" borderId="39" xfId="0" applyFill="1" applyBorder="1" applyAlignment="1" applyProtection="1">
      <alignment horizontal="center" vertical="top"/>
      <protection hidden="1"/>
    </xf>
    <xf numFmtId="0" fontId="0" fillId="23" borderId="27" xfId="0" applyFill="1" applyBorder="1" applyAlignment="1" applyProtection="1">
      <alignment horizontal="center" vertical="top"/>
      <protection hidden="1"/>
    </xf>
    <xf numFmtId="0" fontId="0" fillId="23" borderId="12" xfId="0" applyFill="1" applyBorder="1" applyAlignment="1" applyProtection="1">
      <alignment horizontal="center" vertical="top"/>
      <protection hidden="1"/>
    </xf>
    <xf numFmtId="0" fontId="0" fillId="4" borderId="6" xfId="0" applyFill="1" applyBorder="1" applyAlignment="1" applyProtection="1">
      <alignment horizontal="right"/>
      <protection hidden="1"/>
    </xf>
    <xf numFmtId="0" fontId="0" fillId="0" borderId="42" xfId="0" applyBorder="1" applyAlignment="1" applyProtection="1">
      <alignment horizontal="center"/>
      <protection hidden="1"/>
    </xf>
    <xf numFmtId="0" fontId="0" fillId="0" borderId="43" xfId="0" applyBorder="1" applyAlignment="1" applyProtection="1">
      <alignment horizontal="center"/>
      <protection hidden="1"/>
    </xf>
    <xf numFmtId="0" fontId="0" fillId="0" borderId="109" xfId="0" applyBorder="1" applyAlignment="1" applyProtection="1">
      <alignment horizontal="center"/>
      <protection hidden="1"/>
    </xf>
    <xf numFmtId="0" fontId="0" fillId="0" borderId="54" xfId="0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17" fillId="4" borderId="5" xfId="0" applyFont="1" applyFill="1" applyBorder="1" applyProtection="1">
      <protection hidden="1"/>
    </xf>
    <xf numFmtId="0" fontId="17" fillId="9" borderId="5" xfId="0" applyFont="1" applyFill="1" applyBorder="1" applyProtection="1">
      <protection hidden="1"/>
    </xf>
    <xf numFmtId="0" fontId="17" fillId="10" borderId="5" xfId="0" applyFont="1" applyFill="1" applyBorder="1" applyProtection="1">
      <protection hidden="1"/>
    </xf>
    <xf numFmtId="0" fontId="17" fillId="17" borderId="6" xfId="0" applyFont="1" applyFill="1" applyBorder="1" applyProtection="1">
      <protection hidden="1"/>
    </xf>
    <xf numFmtId="0" fontId="0" fillId="7" borderId="10" xfId="0" applyFill="1" applyBorder="1" applyProtection="1">
      <protection hidden="1"/>
    </xf>
    <xf numFmtId="0" fontId="0" fillId="0" borderId="39" xfId="0" applyBorder="1" applyProtection="1">
      <protection hidden="1"/>
    </xf>
    <xf numFmtId="0" fontId="0" fillId="0" borderId="6" xfId="0" applyBorder="1" applyProtection="1">
      <protection hidden="1"/>
    </xf>
    <xf numFmtId="0" fontId="18" fillId="4" borderId="0" xfId="0" applyFont="1" applyFill="1" applyProtection="1">
      <protection hidden="1"/>
    </xf>
    <xf numFmtId="0" fontId="18" fillId="9" borderId="0" xfId="0" applyFont="1" applyFill="1" applyProtection="1">
      <protection hidden="1"/>
    </xf>
    <xf numFmtId="0" fontId="18" fillId="10" borderId="0" xfId="0" applyFont="1" applyFill="1" applyProtection="1">
      <protection hidden="1"/>
    </xf>
    <xf numFmtId="0" fontId="18" fillId="17" borderId="32" xfId="0" applyFont="1" applyFill="1" applyBorder="1" applyProtection="1">
      <protection hidden="1"/>
    </xf>
    <xf numFmtId="0" fontId="0" fillId="7" borderId="20" xfId="0" applyFill="1" applyBorder="1" applyProtection="1">
      <protection hidden="1"/>
    </xf>
    <xf numFmtId="0" fontId="17" fillId="4" borderId="0" xfId="0" applyFont="1" applyFill="1" applyProtection="1">
      <protection hidden="1"/>
    </xf>
    <xf numFmtId="0" fontId="17" fillId="9" borderId="0" xfId="0" applyFont="1" applyFill="1" applyProtection="1">
      <protection hidden="1"/>
    </xf>
    <xf numFmtId="0" fontId="17" fillId="10" borderId="0" xfId="0" applyFont="1" applyFill="1" applyProtection="1">
      <protection hidden="1"/>
    </xf>
    <xf numFmtId="0" fontId="17" fillId="17" borderId="32" xfId="0" applyFont="1" applyFill="1" applyBorder="1" applyProtection="1">
      <protection hidden="1"/>
    </xf>
    <xf numFmtId="0" fontId="18" fillId="4" borderId="28" xfId="0" applyFont="1" applyFill="1" applyBorder="1" applyProtection="1">
      <protection hidden="1"/>
    </xf>
    <xf numFmtId="0" fontId="18" fillId="9" borderId="28" xfId="0" applyFont="1" applyFill="1" applyBorder="1" applyProtection="1">
      <protection hidden="1"/>
    </xf>
    <xf numFmtId="0" fontId="18" fillId="10" borderId="28" xfId="0" applyFont="1" applyFill="1" applyBorder="1" applyProtection="1">
      <protection hidden="1"/>
    </xf>
    <xf numFmtId="0" fontId="18" fillId="17" borderId="29" xfId="0" applyFont="1" applyFill="1" applyBorder="1" applyProtection="1">
      <protection hidden="1"/>
    </xf>
    <xf numFmtId="0" fontId="0" fillId="4" borderId="5" xfId="0" applyFill="1" applyBorder="1" applyProtection="1">
      <protection hidden="1"/>
    </xf>
    <xf numFmtId="0" fontId="0" fillId="9" borderId="5" xfId="0" applyFill="1" applyBorder="1" applyProtection="1">
      <protection hidden="1"/>
    </xf>
    <xf numFmtId="0" fontId="0" fillId="10" borderId="5" xfId="0" applyFill="1" applyBorder="1" applyProtection="1">
      <protection hidden="1"/>
    </xf>
    <xf numFmtId="0" fontId="0" fillId="17" borderId="6" xfId="0" applyFill="1" applyBorder="1" applyProtection="1">
      <protection hidden="1"/>
    </xf>
    <xf numFmtId="0" fontId="0" fillId="24" borderId="39" xfId="0" applyFill="1" applyBorder="1" applyProtection="1">
      <protection hidden="1"/>
    </xf>
    <xf numFmtId="0" fontId="0" fillId="0" borderId="5" xfId="0" applyBorder="1" applyAlignment="1" applyProtection="1">
      <alignment horizontal="right"/>
      <protection hidden="1"/>
    </xf>
    <xf numFmtId="0" fontId="13" fillId="19" borderId="10" xfId="0" applyFont="1" applyFill="1" applyBorder="1" applyProtection="1">
      <protection hidden="1"/>
    </xf>
    <xf numFmtId="0" fontId="13" fillId="19" borderId="20" xfId="0" applyFont="1" applyFill="1" applyBorder="1" applyProtection="1">
      <protection hidden="1"/>
    </xf>
    <xf numFmtId="0" fontId="13" fillId="19" borderId="25" xfId="0" applyFont="1" applyFill="1" applyBorder="1" applyProtection="1">
      <protection hidden="1"/>
    </xf>
    <xf numFmtId="0" fontId="0" fillId="7" borderId="0" xfId="0" applyFill="1" applyProtection="1">
      <protection hidden="1"/>
    </xf>
    <xf numFmtId="0" fontId="0" fillId="7" borderId="5" xfId="0" applyFill="1" applyBorder="1" applyProtection="1">
      <protection hidden="1"/>
    </xf>
    <xf numFmtId="0" fontId="0" fillId="7" borderId="6" xfId="0" applyFill="1" applyBorder="1" applyProtection="1">
      <protection hidden="1"/>
    </xf>
    <xf numFmtId="0" fontId="0" fillId="7" borderId="18" xfId="0" applyFill="1" applyBorder="1" applyProtection="1">
      <protection hidden="1"/>
    </xf>
    <xf numFmtId="0" fontId="0" fillId="7" borderId="29" xfId="0" applyFill="1" applyBorder="1" applyProtection="1">
      <protection hidden="1"/>
    </xf>
    <xf numFmtId="0" fontId="0" fillId="0" borderId="111" xfId="0" applyBorder="1" applyProtection="1">
      <protection hidden="1"/>
    </xf>
    <xf numFmtId="0" fontId="17" fillId="4" borderId="112" xfId="0" applyFont="1" applyFill="1" applyBorder="1" applyProtection="1">
      <protection hidden="1"/>
    </xf>
    <xf numFmtId="0" fontId="17" fillId="9" borderId="112" xfId="0" applyFont="1" applyFill="1" applyBorder="1" applyProtection="1">
      <protection hidden="1"/>
    </xf>
    <xf numFmtId="0" fontId="17" fillId="10" borderId="112" xfId="0" applyFont="1" applyFill="1" applyBorder="1" applyProtection="1">
      <protection hidden="1"/>
    </xf>
    <xf numFmtId="0" fontId="0" fillId="17" borderId="113" xfId="0" applyFill="1" applyBorder="1" applyProtection="1">
      <protection hidden="1"/>
    </xf>
    <xf numFmtId="0" fontId="1" fillId="7" borderId="32" xfId="0" applyFont="1" applyFill="1" applyBorder="1" applyProtection="1">
      <protection hidden="1"/>
    </xf>
    <xf numFmtId="0" fontId="0" fillId="0" borderId="114" xfId="0" applyBorder="1" applyProtection="1">
      <protection hidden="1"/>
    </xf>
    <xf numFmtId="0" fontId="0" fillId="17" borderId="115" xfId="0" applyFill="1" applyBorder="1" applyProtection="1">
      <protection hidden="1"/>
    </xf>
    <xf numFmtId="0" fontId="0" fillId="0" borderId="116" xfId="0" applyBorder="1" applyProtection="1">
      <protection hidden="1"/>
    </xf>
    <xf numFmtId="0" fontId="17" fillId="4" borderId="117" xfId="0" applyFont="1" applyFill="1" applyBorder="1" applyProtection="1">
      <protection hidden="1"/>
    </xf>
    <xf numFmtId="0" fontId="17" fillId="9" borderId="117" xfId="0" applyFont="1" applyFill="1" applyBorder="1" applyProtection="1">
      <protection hidden="1"/>
    </xf>
    <xf numFmtId="0" fontId="17" fillId="10" borderId="117" xfId="0" applyFont="1" applyFill="1" applyBorder="1" applyProtection="1">
      <protection hidden="1"/>
    </xf>
    <xf numFmtId="0" fontId="0" fillId="17" borderId="118" xfId="0" applyFill="1" applyBorder="1" applyProtection="1">
      <protection hidden="1"/>
    </xf>
    <xf numFmtId="0" fontId="0" fillId="11" borderId="18" xfId="0" applyFill="1" applyBorder="1" applyProtection="1">
      <protection hidden="1"/>
    </xf>
    <xf numFmtId="0" fontId="17" fillId="11" borderId="0" xfId="0" applyFont="1" applyFill="1" applyProtection="1">
      <protection hidden="1"/>
    </xf>
    <xf numFmtId="0" fontId="0" fillId="11" borderId="32" xfId="0" applyFill="1" applyBorder="1" applyProtection="1">
      <protection hidden="1"/>
    </xf>
    <xf numFmtId="0" fontId="0" fillId="11" borderId="20" xfId="0" applyFill="1" applyBorder="1" applyProtection="1">
      <protection hidden="1"/>
    </xf>
    <xf numFmtId="0" fontId="17" fillId="10" borderId="28" xfId="0" applyFont="1" applyFill="1" applyBorder="1" applyProtection="1">
      <protection hidden="1"/>
    </xf>
    <xf numFmtId="0" fontId="0" fillId="7" borderId="25" xfId="0" applyFill="1" applyBorder="1" applyProtection="1">
      <protection hidden="1"/>
    </xf>
    <xf numFmtId="0" fontId="31" fillId="4" borderId="5" xfId="0" applyFont="1" applyFill="1" applyBorder="1" applyProtection="1">
      <protection hidden="1"/>
    </xf>
    <xf numFmtId="0" fontId="31" fillId="9" borderId="5" xfId="0" applyFont="1" applyFill="1" applyBorder="1" applyProtection="1">
      <protection hidden="1"/>
    </xf>
    <xf numFmtId="0" fontId="31" fillId="10" borderId="5" xfId="0" applyFont="1" applyFill="1" applyBorder="1" applyProtection="1">
      <protection hidden="1"/>
    </xf>
    <xf numFmtId="0" fontId="31" fillId="17" borderId="6" xfId="0" applyFont="1" applyFill="1" applyBorder="1" applyProtection="1">
      <protection hidden="1"/>
    </xf>
    <xf numFmtId="0" fontId="0" fillId="4" borderId="2" xfId="0" applyFill="1" applyBorder="1" applyProtection="1">
      <protection hidden="1"/>
    </xf>
    <xf numFmtId="0" fontId="0" fillId="9" borderId="2" xfId="0" applyFill="1" applyBorder="1" applyProtection="1">
      <protection hidden="1"/>
    </xf>
    <xf numFmtId="0" fontId="0" fillId="10" borderId="2" xfId="0" applyFill="1" applyBorder="1" applyProtection="1">
      <protection hidden="1"/>
    </xf>
    <xf numFmtId="0" fontId="0" fillId="17" borderId="3" xfId="0" applyFill="1" applyBorder="1" applyProtection="1">
      <protection hidden="1"/>
    </xf>
    <xf numFmtId="0" fontId="6" fillId="0" borderId="0" xfId="0" applyFont="1" applyProtection="1">
      <protection hidden="1"/>
    </xf>
    <xf numFmtId="0" fontId="0" fillId="0" borderId="57" xfId="0" applyBorder="1" applyProtection="1">
      <protection hidden="1"/>
    </xf>
    <xf numFmtId="0" fontId="0" fillId="2" borderId="57" xfId="0" applyFill="1" applyBorder="1" applyProtection="1">
      <protection hidden="1"/>
    </xf>
    <xf numFmtId="167" fontId="0" fillId="0" borderId="0" xfId="0" applyNumberFormat="1" applyProtection="1">
      <protection hidden="1"/>
    </xf>
    <xf numFmtId="0" fontId="0" fillId="2" borderId="58" xfId="0" applyFill="1" applyBorder="1" applyProtection="1">
      <protection hidden="1"/>
    </xf>
    <xf numFmtId="0" fontId="0" fillId="0" borderId="59" xfId="0" applyBorder="1" applyProtection="1">
      <protection hidden="1"/>
    </xf>
    <xf numFmtId="0" fontId="0" fillId="2" borderId="59" xfId="0" applyFill="1" applyBorder="1" applyProtection="1">
      <protection hidden="1"/>
    </xf>
    <xf numFmtId="0" fontId="0" fillId="0" borderId="36" xfId="0" applyBorder="1" applyProtection="1">
      <protection hidden="1"/>
    </xf>
    <xf numFmtId="0" fontId="0" fillId="0" borderId="38" xfId="0" applyBorder="1" applyProtection="1">
      <protection hidden="1"/>
    </xf>
    <xf numFmtId="0" fontId="0" fillId="0" borderId="47" xfId="0" applyBorder="1" applyProtection="1">
      <protection hidden="1"/>
    </xf>
    <xf numFmtId="0" fontId="0" fillId="0" borderId="61" xfId="0" applyBorder="1" applyProtection="1">
      <protection hidden="1"/>
    </xf>
    <xf numFmtId="0" fontId="0" fillId="2" borderId="58" xfId="0" applyFill="1" applyBorder="1" applyAlignment="1" applyProtection="1">
      <alignment horizontal="right"/>
      <protection hidden="1"/>
    </xf>
    <xf numFmtId="0" fontId="0" fillId="0" borderId="51" xfId="0" applyBorder="1" applyProtection="1">
      <protection hidden="1"/>
    </xf>
    <xf numFmtId="0" fontId="0" fillId="0" borderId="49" xfId="0" applyBorder="1" applyProtection="1">
      <protection hidden="1"/>
    </xf>
    <xf numFmtId="0" fontId="0" fillId="0" borderId="41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5" xfId="0" applyBorder="1" applyProtection="1">
      <protection hidden="1"/>
    </xf>
    <xf numFmtId="0" fontId="17" fillId="16" borderId="0" xfId="0" applyFont="1" applyFill="1"/>
    <xf numFmtId="0" fontId="3" fillId="0" borderId="39" xfId="0" applyFont="1" applyBorder="1" applyAlignment="1">
      <alignment horizontal="center"/>
    </xf>
    <xf numFmtId="0" fontId="0" fillId="22" borderId="4" xfId="0" applyFill="1" applyBorder="1" applyAlignment="1">
      <alignment horizontal="right"/>
    </xf>
    <xf numFmtId="0" fontId="0" fillId="22" borderId="5" xfId="0" applyFill="1" applyBorder="1" applyAlignment="1">
      <alignment horizontal="right"/>
    </xf>
    <xf numFmtId="0" fontId="0" fillId="22" borderId="1" xfId="0" applyFill="1" applyBorder="1" applyAlignment="1">
      <alignment horizontal="right"/>
    </xf>
    <xf numFmtId="0" fontId="0" fillId="22" borderId="2" xfId="0" applyFill="1" applyBorder="1" applyAlignment="1">
      <alignment horizontal="right"/>
    </xf>
    <xf numFmtId="170" fontId="3" fillId="24" borderId="39" xfId="0" applyNumberFormat="1" applyFont="1" applyFill="1" applyBorder="1" applyAlignment="1">
      <alignment horizontal="center"/>
    </xf>
    <xf numFmtId="0" fontId="0" fillId="22" borderId="1" xfId="0" applyFill="1" applyBorder="1"/>
    <xf numFmtId="0" fontId="0" fillId="22" borderId="2" xfId="0" applyFill="1" applyBorder="1"/>
    <xf numFmtId="0" fontId="0" fillId="22" borderId="3" xfId="0" applyFill="1" applyBorder="1"/>
    <xf numFmtId="170" fontId="3" fillId="6" borderId="39" xfId="0" applyNumberFormat="1" applyFont="1" applyFill="1" applyBorder="1" applyAlignment="1">
      <alignment horizontal="center"/>
    </xf>
    <xf numFmtId="170" fontId="3" fillId="10" borderId="39" xfId="0" applyNumberFormat="1" applyFont="1" applyFill="1" applyBorder="1" applyAlignment="1">
      <alignment horizontal="center"/>
    </xf>
    <xf numFmtId="170" fontId="3" fillId="22" borderId="39" xfId="0" applyNumberFormat="1" applyFont="1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0" borderId="0" xfId="0" applyAlignment="1" applyProtection="1">
      <alignment vertical="top" wrapText="1"/>
      <protection hidden="1"/>
    </xf>
    <xf numFmtId="0" fontId="3" fillId="15" borderId="0" xfId="0" applyFont="1" applyFill="1" applyAlignment="1" applyProtection="1">
      <alignment horizontal="right"/>
      <protection hidden="1"/>
    </xf>
    <xf numFmtId="0" fontId="34" fillId="0" borderId="4" xfId="2" applyBorder="1" applyProtection="1">
      <protection hidden="1"/>
    </xf>
    <xf numFmtId="0" fontId="34" fillId="0" borderId="14" xfId="2" applyBorder="1" applyProtection="1">
      <protection hidden="1"/>
    </xf>
    <xf numFmtId="170" fontId="37" fillId="8" borderId="6" xfId="0" applyNumberFormat="1" applyFont="1" applyFill="1" applyBorder="1" applyAlignment="1" applyProtection="1">
      <alignment horizontal="center"/>
      <protection hidden="1"/>
    </xf>
    <xf numFmtId="0" fontId="37" fillId="8" borderId="39" xfId="0" applyFont="1" applyFill="1" applyBorder="1" applyAlignment="1" applyProtection="1">
      <alignment horizontal="center"/>
      <protection hidden="1"/>
    </xf>
    <xf numFmtId="0" fontId="38" fillId="8" borderId="39" xfId="0" applyFont="1" applyFill="1" applyBorder="1" applyAlignment="1" applyProtection="1">
      <alignment horizontal="center"/>
      <protection hidden="1"/>
    </xf>
    <xf numFmtId="0" fontId="38" fillId="8" borderId="6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16" borderId="39" xfId="0" applyFont="1" applyFill="1" applyBorder="1" applyAlignment="1" applyProtection="1">
      <alignment horizontal="right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3" fillId="0" borderId="44" xfId="0" applyFont="1" applyBorder="1" applyAlignment="1" applyProtection="1">
      <alignment horizontal="center"/>
      <protection hidden="1"/>
    </xf>
    <xf numFmtId="0" fontId="3" fillId="0" borderId="36" xfId="0" applyFont="1" applyBorder="1" applyAlignment="1" applyProtection="1">
      <alignment horizontal="right"/>
      <protection hidden="1"/>
    </xf>
    <xf numFmtId="0" fontId="0" fillId="6" borderId="16" xfId="0" applyFill="1" applyBorder="1" applyAlignment="1" applyProtection="1">
      <alignment horizontal="center" vertical="top"/>
      <protection hidden="1"/>
    </xf>
    <xf numFmtId="170" fontId="0" fillId="8" borderId="10" xfId="0" applyNumberFormat="1" applyFill="1" applyBorder="1" applyProtection="1">
      <protection hidden="1"/>
    </xf>
    <xf numFmtId="0" fontId="3" fillId="0" borderId="47" xfId="0" applyFont="1" applyBorder="1" applyAlignment="1" applyProtection="1">
      <alignment horizontal="right"/>
      <protection hidden="1"/>
    </xf>
    <xf numFmtId="0" fontId="0" fillId="6" borderId="7" xfId="0" applyFill="1" applyBorder="1" applyAlignment="1" applyProtection="1">
      <alignment horizontal="center" vertical="top"/>
      <protection hidden="1"/>
    </xf>
    <xf numFmtId="170" fontId="0" fillId="8" borderId="20" xfId="0" applyNumberFormat="1" applyFill="1" applyBorder="1" applyProtection="1">
      <protection hidden="1"/>
    </xf>
    <xf numFmtId="0" fontId="3" fillId="0" borderId="48" xfId="0" applyFont="1" applyBorder="1" applyAlignment="1" applyProtection="1">
      <alignment horizontal="right"/>
      <protection hidden="1"/>
    </xf>
    <xf numFmtId="0" fontId="0" fillId="6" borderId="7" xfId="0" applyFill="1" applyBorder="1" applyAlignment="1" applyProtection="1">
      <alignment horizontal="center" vertical="center"/>
      <protection hidden="1"/>
    </xf>
    <xf numFmtId="0" fontId="0" fillId="6" borderId="34" xfId="0" applyFill="1" applyBorder="1" applyAlignment="1" applyProtection="1">
      <alignment horizontal="center" vertical="top"/>
      <protection hidden="1"/>
    </xf>
    <xf numFmtId="168" fontId="11" fillId="25" borderId="9" xfId="1" applyNumberFormat="1" applyFont="1" applyFill="1" applyBorder="1" applyAlignment="1" applyProtection="1">
      <alignment horizontal="center" vertical="top"/>
      <protection hidden="1"/>
    </xf>
    <xf numFmtId="0" fontId="28" fillId="12" borderId="46" xfId="0" applyFont="1" applyFill="1" applyBorder="1" applyAlignment="1" applyProtection="1">
      <alignment horizontal="left" vertical="top"/>
      <protection hidden="1"/>
    </xf>
    <xf numFmtId="0" fontId="0" fillId="12" borderId="61" xfId="0" applyFill="1" applyBorder="1" applyAlignment="1" applyProtection="1">
      <alignment horizontal="center" vertical="top"/>
      <protection hidden="1"/>
    </xf>
    <xf numFmtId="0" fontId="32" fillId="6" borderId="7" xfId="0" applyFont="1" applyFill="1" applyBorder="1" applyAlignment="1" applyProtection="1">
      <alignment horizontal="center" vertical="center"/>
      <protection hidden="1"/>
    </xf>
    <xf numFmtId="0" fontId="1" fillId="6" borderId="16" xfId="0" applyFont="1" applyFill="1" applyBorder="1" applyAlignment="1" applyProtection="1">
      <alignment horizontal="center"/>
      <protection hidden="1"/>
    </xf>
    <xf numFmtId="170" fontId="0" fillId="8" borderId="56" xfId="0" applyNumberFormat="1" applyFill="1" applyBorder="1" applyProtection="1">
      <protection hidden="1"/>
    </xf>
    <xf numFmtId="0" fontId="3" fillId="0" borderId="7" xfId="0" applyFont="1" applyBorder="1" applyAlignment="1" applyProtection="1">
      <alignment horizontal="right"/>
      <protection hidden="1"/>
    </xf>
    <xf numFmtId="0" fontId="0" fillId="12" borderId="46" xfId="0" applyFill="1" applyBorder="1" applyAlignment="1" applyProtection="1">
      <alignment horizontal="center" vertical="top"/>
      <protection hidden="1"/>
    </xf>
    <xf numFmtId="164" fontId="0" fillId="12" borderId="61" xfId="1" applyNumberFormat="1" applyFont="1" applyFill="1" applyBorder="1" applyAlignment="1" applyProtection="1">
      <alignment horizontal="center" vertical="top"/>
      <protection hidden="1"/>
    </xf>
    <xf numFmtId="0" fontId="3" fillId="0" borderId="14" xfId="0" applyFont="1" applyBorder="1" applyAlignment="1" applyProtection="1">
      <alignment horizontal="right"/>
      <protection hidden="1"/>
    </xf>
    <xf numFmtId="0" fontId="0" fillId="6" borderId="22" xfId="0" applyFill="1" applyBorder="1" applyAlignment="1" applyProtection="1">
      <alignment horizontal="center" vertical="center"/>
      <protection hidden="1"/>
    </xf>
    <xf numFmtId="0" fontId="0" fillId="12" borderId="30" xfId="0" applyFill="1" applyBorder="1" applyAlignment="1" applyProtection="1">
      <alignment horizontal="center" vertical="top"/>
      <protection hidden="1"/>
    </xf>
    <xf numFmtId="164" fontId="0" fillId="12" borderId="49" xfId="1" applyNumberFormat="1" applyFont="1" applyFill="1" applyBorder="1" applyAlignment="1" applyProtection="1">
      <alignment horizontal="center" vertical="top"/>
      <protection hidden="1"/>
    </xf>
    <xf numFmtId="170" fontId="0" fillId="8" borderId="25" xfId="0" applyNumberFormat="1" applyFill="1" applyBorder="1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/>
      <protection hidden="1"/>
    </xf>
    <xf numFmtId="168" fontId="0" fillId="0" borderId="0" xfId="0" applyNumberForma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165" fontId="2" fillId="0" borderId="0" xfId="0" applyNumberFormat="1" applyFont="1" applyProtection="1"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 wrapText="1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center"/>
      <protection hidden="1"/>
    </xf>
    <xf numFmtId="0" fontId="3" fillId="0" borderId="22" xfId="0" applyFont="1" applyBorder="1" applyProtection="1">
      <protection hidden="1"/>
    </xf>
    <xf numFmtId="168" fontId="0" fillId="0" borderId="20" xfId="0" applyNumberFormat="1" applyBorder="1" applyProtection="1">
      <protection hidden="1"/>
    </xf>
    <xf numFmtId="0" fontId="0" fillId="27" borderId="7" xfId="0" applyFill="1" applyBorder="1" applyAlignment="1" applyProtection="1">
      <alignment horizontal="right"/>
      <protection hidden="1"/>
    </xf>
    <xf numFmtId="170" fontId="3" fillId="27" borderId="8" xfId="0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/>
      <protection hidden="1"/>
    </xf>
    <xf numFmtId="168" fontId="0" fillId="0" borderId="128" xfId="0" applyNumberFormat="1" applyBorder="1" applyProtection="1">
      <protection hidden="1"/>
    </xf>
    <xf numFmtId="166" fontId="3" fillId="0" borderId="39" xfId="0" applyNumberFormat="1" applyFont="1" applyBorder="1" applyAlignment="1" applyProtection="1">
      <alignment horizontal="center" vertical="center"/>
      <protection hidden="1"/>
    </xf>
    <xf numFmtId="0" fontId="0" fillId="7" borderId="76" xfId="0" applyFill="1" applyBorder="1" applyAlignment="1" applyProtection="1">
      <alignment horizontal="center"/>
      <protection hidden="1"/>
    </xf>
    <xf numFmtId="0" fontId="0" fillId="7" borderId="77" xfId="0" applyFill="1" applyBorder="1" applyAlignment="1" applyProtection="1">
      <alignment horizontal="center"/>
      <protection hidden="1"/>
    </xf>
    <xf numFmtId="0" fontId="0" fillId="7" borderId="6" xfId="0" applyFill="1" applyBorder="1" applyAlignment="1" applyProtection="1">
      <alignment horizontal="center"/>
      <protection hidden="1"/>
    </xf>
    <xf numFmtId="169" fontId="0" fillId="7" borderId="63" xfId="0" applyNumberFormat="1" applyFill="1" applyBorder="1" applyAlignment="1" applyProtection="1">
      <alignment horizontal="center"/>
      <protection hidden="1"/>
    </xf>
    <xf numFmtId="169" fontId="0" fillId="7" borderId="65" xfId="0" applyNumberFormat="1" applyFill="1" applyBorder="1" applyAlignment="1" applyProtection="1">
      <alignment horizontal="center"/>
      <protection hidden="1"/>
    </xf>
    <xf numFmtId="169" fontId="0" fillId="7" borderId="64" xfId="0" applyNumberFormat="1" applyFill="1" applyBorder="1" applyAlignment="1" applyProtection="1">
      <alignment horizontal="center"/>
      <protection hidden="1"/>
    </xf>
    <xf numFmtId="171" fontId="0" fillId="7" borderId="103" xfId="0" applyNumberFormat="1" applyFill="1" applyBorder="1" applyAlignment="1" applyProtection="1">
      <alignment horizontal="center"/>
      <protection hidden="1"/>
    </xf>
    <xf numFmtId="171" fontId="0" fillId="7" borderId="5" xfId="0" applyNumberFormat="1" applyFill="1" applyBorder="1" applyAlignment="1" applyProtection="1">
      <alignment horizontal="center"/>
      <protection hidden="1"/>
    </xf>
    <xf numFmtId="171" fontId="0" fillId="7" borderId="104" xfId="0" applyNumberFormat="1" applyFill="1" applyBorder="1" applyAlignment="1" applyProtection="1">
      <alignment horizontal="center"/>
      <protection hidden="1"/>
    </xf>
    <xf numFmtId="171" fontId="0" fillId="7" borderId="105" xfId="0" applyNumberFormat="1" applyFill="1" applyBorder="1" applyAlignment="1" applyProtection="1">
      <alignment horizontal="center"/>
      <protection hidden="1"/>
    </xf>
    <xf numFmtId="171" fontId="0" fillId="7" borderId="28" xfId="0" applyNumberFormat="1" applyFill="1" applyBorder="1" applyAlignment="1" applyProtection="1">
      <alignment horizontal="center"/>
      <protection hidden="1"/>
    </xf>
    <xf numFmtId="171" fontId="0" fillId="7" borderId="106" xfId="0" applyNumberFormat="1" applyFill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Alignment="1" applyProtection="1">
      <alignment horizontal="center"/>
      <protection locked="0" hidden="1"/>
    </xf>
    <xf numFmtId="0" fontId="13" fillId="0" borderId="0" xfId="0" applyFont="1" applyProtection="1">
      <protection locked="0" hidden="1"/>
    </xf>
    <xf numFmtId="0" fontId="3" fillId="0" borderId="0" xfId="0" applyFont="1" applyAlignment="1" applyProtection="1">
      <alignment horizontal="center"/>
      <protection hidden="1"/>
    </xf>
    <xf numFmtId="0" fontId="36" fillId="0" borderId="0" xfId="0" applyFont="1" applyAlignment="1" applyProtection="1">
      <alignment horizontal="center"/>
      <protection hidden="1"/>
    </xf>
    <xf numFmtId="0" fontId="3" fillId="9" borderId="119" xfId="0" applyFont="1" applyFill="1" applyBorder="1" applyAlignment="1" applyProtection="1">
      <alignment horizontal="right"/>
      <protection hidden="1"/>
    </xf>
    <xf numFmtId="0" fontId="3" fillId="9" borderId="120" xfId="0" applyFont="1" applyFill="1" applyBorder="1" applyAlignment="1" applyProtection="1">
      <alignment horizontal="right"/>
      <protection hidden="1"/>
    </xf>
    <xf numFmtId="0" fontId="3" fillId="9" borderId="121" xfId="0" applyFont="1" applyFill="1" applyBorder="1" applyAlignment="1" applyProtection="1">
      <alignment horizontal="right"/>
      <protection hidden="1"/>
    </xf>
    <xf numFmtId="0" fontId="0" fillId="9" borderId="1" xfId="0" applyFill="1" applyBorder="1" applyAlignment="1" applyProtection="1">
      <alignment horizontal="center"/>
      <protection hidden="1"/>
    </xf>
    <xf numFmtId="0" fontId="0" fillId="9" borderId="2" xfId="0" applyFill="1" applyBorder="1" applyAlignment="1" applyProtection="1">
      <alignment horizontal="center"/>
      <protection hidden="1"/>
    </xf>
    <xf numFmtId="0" fontId="0" fillId="9" borderId="3" xfId="0" applyFill="1" applyBorder="1" applyAlignment="1" applyProtection="1">
      <alignment horizontal="center"/>
      <protection hidden="1"/>
    </xf>
    <xf numFmtId="0" fontId="20" fillId="24" borderId="36" xfId="0" applyFont="1" applyFill="1" applyBorder="1" applyAlignment="1" applyProtection="1">
      <alignment horizontal="center"/>
      <protection hidden="1"/>
    </xf>
    <xf numFmtId="0" fontId="20" fillId="24" borderId="37" xfId="0" applyFont="1" applyFill="1" applyBorder="1" applyAlignment="1" applyProtection="1">
      <alignment horizontal="center"/>
      <protection hidden="1"/>
    </xf>
    <xf numFmtId="0" fontId="20" fillId="24" borderId="38" xfId="0" applyFont="1" applyFill="1" applyBorder="1" applyAlignment="1" applyProtection="1">
      <alignment horizontal="center"/>
      <protection hidden="1"/>
    </xf>
    <xf numFmtId="0" fontId="8" fillId="27" borderId="36" xfId="0" applyFont="1" applyFill="1" applyBorder="1" applyAlignment="1" applyProtection="1">
      <alignment horizontal="center"/>
      <protection hidden="1"/>
    </xf>
    <xf numFmtId="0" fontId="8" fillId="27" borderId="37" xfId="0" applyFont="1" applyFill="1" applyBorder="1" applyAlignment="1" applyProtection="1">
      <alignment horizontal="center"/>
      <protection hidden="1"/>
    </xf>
    <xf numFmtId="0" fontId="8" fillId="27" borderId="38" xfId="0" applyFont="1" applyFill="1" applyBorder="1" applyAlignment="1" applyProtection="1">
      <alignment horizontal="center"/>
      <protection hidden="1"/>
    </xf>
    <xf numFmtId="166" fontId="3" fillId="10" borderId="1" xfId="0" applyNumberFormat="1" applyFont="1" applyFill="1" applyBorder="1" applyAlignment="1" applyProtection="1">
      <alignment horizontal="center"/>
      <protection hidden="1"/>
    </xf>
    <xf numFmtId="166" fontId="3" fillId="10" borderId="3" xfId="0" applyNumberFormat="1" applyFont="1" applyFill="1" applyBorder="1" applyAlignment="1" applyProtection="1">
      <alignment horizontal="center"/>
      <protection hidden="1"/>
    </xf>
    <xf numFmtId="0" fontId="20" fillId="6" borderId="36" xfId="0" applyFont="1" applyFill="1" applyBorder="1" applyAlignment="1" applyProtection="1">
      <alignment horizontal="center"/>
      <protection hidden="1"/>
    </xf>
    <xf numFmtId="0" fontId="20" fillId="6" borderId="37" xfId="0" applyFont="1" applyFill="1" applyBorder="1" applyAlignment="1" applyProtection="1">
      <alignment horizontal="center"/>
      <protection hidden="1"/>
    </xf>
    <xf numFmtId="0" fontId="20" fillId="6" borderId="38" xfId="0" applyFont="1" applyFill="1" applyBorder="1" applyAlignment="1" applyProtection="1">
      <alignment horizontal="center"/>
      <protection hidden="1"/>
    </xf>
    <xf numFmtId="44" fontId="22" fillId="7" borderId="122" xfId="0" applyNumberFormat="1" applyFont="1" applyFill="1" applyBorder="1" applyAlignment="1" applyProtection="1">
      <alignment horizontal="left" vertical="center" wrapText="1"/>
      <protection hidden="1"/>
    </xf>
    <xf numFmtId="44" fontId="22" fillId="7" borderId="123" xfId="0" applyNumberFormat="1" applyFont="1" applyFill="1" applyBorder="1" applyAlignment="1" applyProtection="1">
      <alignment horizontal="left" vertical="center" wrapText="1"/>
      <protection hidden="1"/>
    </xf>
    <xf numFmtId="44" fontId="0" fillId="10" borderId="124" xfId="0" applyNumberFormat="1" applyFill="1" applyBorder="1" applyAlignment="1" applyProtection="1">
      <alignment horizontal="left" vertical="center" wrapText="1"/>
      <protection hidden="1"/>
    </xf>
    <xf numFmtId="44" fontId="0" fillId="10" borderId="125" xfId="0" applyNumberFormat="1" applyFill="1" applyBorder="1" applyAlignment="1" applyProtection="1">
      <alignment horizontal="left" vertical="center" wrapText="1"/>
      <protection hidden="1"/>
    </xf>
    <xf numFmtId="44" fontId="0" fillId="16" borderId="1" xfId="0" applyNumberFormat="1" applyFill="1" applyBorder="1" applyAlignment="1" applyProtection="1">
      <alignment horizontal="left" vertical="center" wrapText="1"/>
      <protection hidden="1"/>
    </xf>
    <xf numFmtId="44" fontId="0" fillId="16" borderId="3" xfId="0" applyNumberFormat="1" applyFill="1" applyBorder="1" applyAlignment="1" applyProtection="1">
      <alignment horizontal="left" vertical="center" wrapText="1"/>
      <protection hidden="1"/>
    </xf>
    <xf numFmtId="44" fontId="5" fillId="6" borderId="1" xfId="0" applyNumberFormat="1" applyFont="1" applyFill="1" applyBorder="1" applyAlignment="1" applyProtection="1">
      <alignment horizontal="center" vertical="center"/>
      <protection hidden="1"/>
    </xf>
    <xf numFmtId="44" fontId="5" fillId="6" borderId="2" xfId="0" applyNumberFormat="1" applyFont="1" applyFill="1" applyBorder="1" applyAlignment="1" applyProtection="1">
      <alignment horizontal="center" vertical="center"/>
      <protection hidden="1"/>
    </xf>
    <xf numFmtId="44" fontId="5" fillId="6" borderId="3" xfId="0" applyNumberFormat="1" applyFont="1" applyFill="1" applyBorder="1" applyAlignment="1" applyProtection="1">
      <alignment horizontal="center" vertical="center"/>
      <protection hidden="1"/>
    </xf>
    <xf numFmtId="44" fontId="21" fillId="6" borderId="78" xfId="0" applyNumberFormat="1" applyFont="1" applyFill="1" applyBorder="1" applyAlignment="1" applyProtection="1">
      <alignment horizontal="center" vertical="center"/>
      <protection hidden="1"/>
    </xf>
    <xf numFmtId="44" fontId="21" fillId="6" borderId="108" xfId="0" applyNumberFormat="1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/>
      <protection hidden="1"/>
    </xf>
    <xf numFmtId="0" fontId="3" fillId="6" borderId="54" xfId="0" applyFont="1" applyFill="1" applyBorder="1" applyAlignment="1" applyProtection="1">
      <alignment horizontal="center"/>
      <protection hidden="1"/>
    </xf>
    <xf numFmtId="0" fontId="4" fillId="0" borderId="36" xfId="0" applyFont="1" applyBorder="1" applyAlignment="1" applyProtection="1">
      <alignment horizontal="center"/>
      <protection hidden="1"/>
    </xf>
    <xf numFmtId="0" fontId="4" fillId="0" borderId="37" xfId="0" applyFont="1" applyBorder="1" applyAlignment="1" applyProtection="1">
      <alignment horizontal="center"/>
      <protection hidden="1"/>
    </xf>
    <xf numFmtId="0" fontId="4" fillId="0" borderId="38" xfId="0" applyFont="1" applyBorder="1" applyAlignment="1" applyProtection="1">
      <alignment horizontal="center"/>
      <protection hidden="1"/>
    </xf>
    <xf numFmtId="0" fontId="5" fillId="26" borderId="51" xfId="0" applyFont="1" applyFill="1" applyBorder="1" applyAlignment="1" applyProtection="1">
      <alignment horizontal="center"/>
      <protection hidden="1"/>
    </xf>
    <xf numFmtId="0" fontId="5" fillId="26" borderId="30" xfId="0" applyFont="1" applyFill="1" applyBorder="1" applyAlignment="1" applyProtection="1">
      <alignment horizontal="center"/>
      <protection hidden="1"/>
    </xf>
    <xf numFmtId="0" fontId="5" fillId="26" borderId="49" xfId="0" applyFont="1" applyFill="1" applyBorder="1" applyAlignment="1" applyProtection="1">
      <alignment horizontal="center"/>
      <protection hidden="1"/>
    </xf>
    <xf numFmtId="0" fontId="3" fillId="0" borderId="47" xfId="0" applyFont="1" applyBorder="1" applyAlignment="1" applyProtection="1">
      <alignment horizontal="center"/>
      <protection hidden="1"/>
    </xf>
    <xf numFmtId="0" fontId="3" fillId="0" borderId="70" xfId="0" applyFont="1" applyBorder="1" applyAlignment="1" applyProtection="1">
      <alignment horizontal="center"/>
      <protection hidden="1"/>
    </xf>
    <xf numFmtId="0" fontId="3" fillId="6" borderId="47" xfId="0" applyFont="1" applyFill="1" applyBorder="1" applyAlignment="1" applyProtection="1">
      <alignment horizontal="center"/>
      <protection hidden="1"/>
    </xf>
    <xf numFmtId="0" fontId="3" fillId="6" borderId="70" xfId="0" applyFont="1" applyFill="1" applyBorder="1" applyAlignment="1" applyProtection="1">
      <alignment horizontal="center"/>
      <protection hidden="1"/>
    </xf>
    <xf numFmtId="0" fontId="3" fillId="9" borderId="4" xfId="0" applyFont="1" applyFill="1" applyBorder="1" applyAlignment="1" applyProtection="1">
      <alignment horizontal="right"/>
      <protection hidden="1"/>
    </xf>
    <xf numFmtId="0" fontId="3" fillId="9" borderId="5" xfId="0" applyFont="1" applyFill="1" applyBorder="1" applyAlignment="1" applyProtection="1">
      <alignment horizontal="right"/>
      <protection hidden="1"/>
    </xf>
    <xf numFmtId="0" fontId="3" fillId="9" borderId="6" xfId="0" applyFont="1" applyFill="1" applyBorder="1" applyAlignment="1" applyProtection="1">
      <alignment horizontal="right"/>
      <protection hidden="1"/>
    </xf>
    <xf numFmtId="0" fontId="3" fillId="9" borderId="73" xfId="0" applyFont="1" applyFill="1" applyBorder="1" applyAlignment="1" applyProtection="1">
      <alignment horizontal="right"/>
      <protection hidden="1"/>
    </xf>
    <xf numFmtId="0" fontId="3" fillId="9" borderId="74" xfId="0" applyFont="1" applyFill="1" applyBorder="1" applyAlignment="1" applyProtection="1">
      <alignment horizontal="right"/>
      <protection hidden="1"/>
    </xf>
    <xf numFmtId="0" fontId="3" fillId="9" borderId="75" xfId="0" applyFont="1" applyFill="1" applyBorder="1" applyAlignment="1" applyProtection="1">
      <alignment horizontal="right"/>
      <protection hidden="1"/>
    </xf>
    <xf numFmtId="0" fontId="0" fillId="0" borderId="79" xfId="0" applyBorder="1" applyAlignment="1" applyProtection="1">
      <alignment horizontal="center" vertical="top" wrapText="1"/>
      <protection hidden="1"/>
    </xf>
    <xf numFmtId="0" fontId="0" fillId="0" borderId="34" xfId="0" applyBorder="1" applyAlignment="1" applyProtection="1">
      <alignment horizontal="center" vertical="top" wrapText="1"/>
      <protection hidden="1"/>
    </xf>
    <xf numFmtId="0" fontId="0" fillId="0" borderId="33" xfId="0" applyBorder="1" applyAlignment="1" applyProtection="1">
      <alignment horizontal="center" vertical="top" wrapText="1"/>
      <protection hidden="1"/>
    </xf>
    <xf numFmtId="0" fontId="0" fillId="0" borderId="53" xfId="0" applyBorder="1" applyAlignment="1" applyProtection="1">
      <alignment horizontal="center" vertical="top" wrapText="1"/>
      <protection hidden="1"/>
    </xf>
    <xf numFmtId="0" fontId="0" fillId="0" borderId="55" xfId="0" applyBorder="1" applyAlignment="1" applyProtection="1">
      <alignment horizontal="center" vertical="top" wrapText="1"/>
      <protection hidden="1"/>
    </xf>
    <xf numFmtId="0" fontId="0" fillId="0" borderId="80" xfId="0" applyBorder="1" applyAlignment="1" applyProtection="1">
      <alignment horizontal="center" vertical="top" wrapText="1"/>
      <protection hidden="1"/>
    </xf>
    <xf numFmtId="0" fontId="3" fillId="15" borderId="90" xfId="0" applyFont="1" applyFill="1" applyBorder="1" applyAlignment="1" applyProtection="1">
      <alignment horizontal="right"/>
      <protection hidden="1"/>
    </xf>
    <xf numFmtId="0" fontId="3" fillId="15" borderId="91" xfId="0" applyFont="1" applyFill="1" applyBorder="1" applyAlignment="1" applyProtection="1">
      <alignment horizontal="right"/>
      <protection hidden="1"/>
    </xf>
    <xf numFmtId="0" fontId="3" fillId="15" borderId="92" xfId="0" applyFont="1" applyFill="1" applyBorder="1" applyAlignment="1" applyProtection="1">
      <alignment horizontal="right"/>
      <protection hidden="1"/>
    </xf>
    <xf numFmtId="44" fontId="22" fillId="7" borderId="86" xfId="0" applyNumberFormat="1" applyFont="1" applyFill="1" applyBorder="1" applyAlignment="1" applyProtection="1">
      <alignment horizontal="left" vertical="center" wrapText="1"/>
      <protection hidden="1"/>
    </xf>
    <xf numFmtId="44" fontId="22" fillId="7" borderId="102" xfId="0" applyNumberFormat="1" applyFont="1" applyFill="1" applyBorder="1" applyAlignment="1" applyProtection="1">
      <alignment horizontal="left" vertical="center" wrapText="1"/>
      <protection hidden="1"/>
    </xf>
    <xf numFmtId="0" fontId="3" fillId="0" borderId="36" xfId="0" applyFont="1" applyBorder="1" applyAlignment="1" applyProtection="1">
      <alignment horizontal="center"/>
      <protection hidden="1"/>
    </xf>
    <xf numFmtId="0" fontId="3" fillId="0" borderId="40" xfId="0" applyFont="1" applyBorder="1" applyAlignment="1" applyProtection="1">
      <alignment horizontal="center"/>
      <protection hidden="1"/>
    </xf>
    <xf numFmtId="0" fontId="9" fillId="0" borderId="1" xfId="0" applyFont="1" applyBorder="1" applyAlignment="1" applyProtection="1">
      <alignment horizontal="left"/>
      <protection hidden="1"/>
    </xf>
    <xf numFmtId="0" fontId="9" fillId="0" borderId="2" xfId="0" applyFont="1" applyBorder="1" applyAlignment="1" applyProtection="1">
      <alignment horizontal="left"/>
      <protection hidden="1"/>
    </xf>
    <xf numFmtId="0" fontId="9" fillId="0" borderId="3" xfId="0" applyFont="1" applyBorder="1" applyAlignment="1" applyProtection="1">
      <alignment horizontal="left"/>
      <protection hidden="1"/>
    </xf>
    <xf numFmtId="0" fontId="0" fillId="10" borderId="98" xfId="0" applyFill="1" applyBorder="1" applyAlignment="1" applyProtection="1">
      <alignment horizontal="center"/>
      <protection hidden="1"/>
    </xf>
    <xf numFmtId="0" fontId="0" fillId="10" borderId="99" xfId="0" applyFill="1" applyBorder="1" applyAlignment="1" applyProtection="1">
      <alignment horizontal="center"/>
      <protection hidden="1"/>
    </xf>
    <xf numFmtId="0" fontId="0" fillId="10" borderId="100" xfId="0" applyFill="1" applyBorder="1" applyAlignment="1" applyProtection="1">
      <alignment horizontal="center"/>
      <protection hidden="1"/>
    </xf>
    <xf numFmtId="44" fontId="0" fillId="9" borderId="1" xfId="0" applyNumberFormat="1" applyFill="1" applyBorder="1" applyAlignment="1" applyProtection="1">
      <alignment horizontal="left" vertical="center" wrapText="1"/>
      <protection hidden="1"/>
    </xf>
    <xf numFmtId="44" fontId="0" fillId="9" borderId="3" xfId="0" applyNumberFormat="1" applyFill="1" applyBorder="1" applyAlignment="1" applyProtection="1">
      <alignment horizontal="left" vertical="center" wrapText="1"/>
      <protection hidden="1"/>
    </xf>
    <xf numFmtId="0" fontId="23" fillId="0" borderId="1" xfId="0" applyFont="1" applyBorder="1" applyAlignment="1" applyProtection="1">
      <alignment horizontal="left" vertical="center" wrapText="1"/>
      <protection hidden="1"/>
    </xf>
    <xf numFmtId="0" fontId="23" fillId="0" borderId="2" xfId="0" applyFont="1" applyBorder="1" applyAlignment="1" applyProtection="1">
      <alignment horizontal="left" vertical="center" wrapText="1"/>
      <protection hidden="1"/>
    </xf>
    <xf numFmtId="0" fontId="23" fillId="0" borderId="3" xfId="0" applyFont="1" applyBorder="1" applyAlignment="1" applyProtection="1">
      <alignment horizontal="left" vertical="center" wrapText="1"/>
      <protection hidden="1"/>
    </xf>
    <xf numFmtId="0" fontId="3" fillId="9" borderId="94" xfId="0" applyFont="1" applyFill="1" applyBorder="1" applyAlignment="1" applyProtection="1">
      <alignment horizontal="right"/>
      <protection hidden="1"/>
    </xf>
    <xf numFmtId="0" fontId="3" fillId="9" borderId="95" xfId="0" applyFont="1" applyFill="1" applyBorder="1" applyAlignment="1" applyProtection="1">
      <alignment horizontal="right"/>
      <protection hidden="1"/>
    </xf>
    <xf numFmtId="0" fontId="3" fillId="9" borderId="96" xfId="0" applyFont="1" applyFill="1" applyBorder="1" applyAlignment="1" applyProtection="1">
      <alignment horizontal="right"/>
      <protection hidden="1"/>
    </xf>
    <xf numFmtId="0" fontId="0" fillId="0" borderId="79" xfId="0" applyBorder="1" applyAlignment="1" applyProtection="1">
      <alignment horizontal="center" vertical="center" wrapText="1"/>
      <protection hidden="1"/>
    </xf>
    <xf numFmtId="0" fontId="0" fillId="0" borderId="34" xfId="0" applyBorder="1" applyAlignment="1" applyProtection="1">
      <alignment horizontal="center" vertical="center" wrapText="1"/>
      <protection hidden="1"/>
    </xf>
    <xf numFmtId="0" fontId="0" fillId="0" borderId="33" xfId="0" applyBorder="1" applyAlignment="1" applyProtection="1">
      <alignment horizontal="center" vertical="center" wrapText="1"/>
      <protection hidden="1"/>
    </xf>
    <xf numFmtId="0" fontId="0" fillId="0" borderId="53" xfId="0" applyBorder="1" applyAlignment="1" applyProtection="1">
      <alignment horizontal="center" vertical="center" wrapText="1"/>
      <protection hidden="1"/>
    </xf>
    <xf numFmtId="0" fontId="0" fillId="0" borderId="55" xfId="0" applyBorder="1" applyAlignment="1" applyProtection="1">
      <alignment horizontal="center" vertical="center" wrapText="1"/>
      <protection hidden="1"/>
    </xf>
    <xf numFmtId="0" fontId="0" fillId="0" borderId="80" xfId="0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textRotation="45"/>
      <protection hidden="1"/>
    </xf>
    <xf numFmtId="0" fontId="3" fillId="0" borderId="18" xfId="0" applyFont="1" applyBorder="1" applyAlignment="1" applyProtection="1">
      <alignment horizontal="center" vertical="center" textRotation="45"/>
      <protection hidden="1"/>
    </xf>
    <xf numFmtId="0" fontId="3" fillId="0" borderId="14" xfId="0" applyFont="1" applyBorder="1" applyAlignment="1" applyProtection="1">
      <alignment horizontal="center" vertical="center" textRotation="45"/>
      <protection hidden="1"/>
    </xf>
    <xf numFmtId="0" fontId="3" fillId="15" borderId="4" xfId="0" applyFont="1" applyFill="1" applyBorder="1" applyAlignment="1" applyProtection="1">
      <alignment horizontal="right"/>
      <protection hidden="1"/>
    </xf>
    <xf numFmtId="0" fontId="3" fillId="15" borderId="5" xfId="0" applyFont="1" applyFill="1" applyBorder="1" applyAlignment="1" applyProtection="1">
      <alignment horizontal="right"/>
      <protection hidden="1"/>
    </xf>
    <xf numFmtId="0" fontId="3" fillId="15" borderId="6" xfId="0" applyFont="1" applyFill="1" applyBorder="1" applyAlignment="1" applyProtection="1">
      <alignment horizontal="right"/>
      <protection hidden="1"/>
    </xf>
    <xf numFmtId="0" fontId="0" fillId="6" borderId="41" xfId="0" applyFill="1" applyBorder="1" applyAlignment="1" applyProtection="1">
      <alignment horizontal="center" vertical="center" wrapText="1"/>
      <protection hidden="1"/>
    </xf>
    <xf numFmtId="0" fontId="0" fillId="6" borderId="71" xfId="0" applyFill="1" applyBorder="1" applyAlignment="1" applyProtection="1">
      <alignment horizontal="center" vertical="center"/>
      <protection hidden="1"/>
    </xf>
    <xf numFmtId="168" fontId="0" fillId="2" borderId="44" xfId="1" applyNumberFormat="1" applyFont="1" applyFill="1" applyBorder="1" applyAlignment="1" applyProtection="1">
      <alignment horizontal="center" vertical="top"/>
      <protection locked="0"/>
    </xf>
    <xf numFmtId="168" fontId="0" fillId="2" borderId="62" xfId="1" applyNumberFormat="1" applyFont="1" applyFill="1" applyBorder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0" fillId="0" borderId="81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82" xfId="0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30" fillId="5" borderId="0" xfId="0" applyFont="1" applyFill="1" applyAlignment="1" applyProtection="1">
      <alignment horizontal="center"/>
      <protection hidden="1"/>
    </xf>
    <xf numFmtId="0" fontId="0" fillId="28" borderId="1" xfId="0" applyFill="1" applyBorder="1" applyAlignment="1">
      <alignment horizontal="right"/>
    </xf>
    <xf numFmtId="0" fontId="0" fillId="28" borderId="2" xfId="0" applyFill="1" applyBorder="1" applyAlignment="1">
      <alignment horizontal="right"/>
    </xf>
    <xf numFmtId="0" fontId="0" fillId="28" borderId="3" xfId="0" applyFill="1" applyBorder="1" applyAlignment="1">
      <alignment horizontal="right"/>
    </xf>
    <xf numFmtId="0" fontId="0" fillId="10" borderId="1" xfId="0" applyFill="1" applyBorder="1" applyAlignment="1" applyProtection="1">
      <alignment horizontal="right"/>
      <protection hidden="1"/>
    </xf>
    <xf numFmtId="0" fontId="0" fillId="10" borderId="2" xfId="0" applyFill="1" applyBorder="1" applyAlignment="1" applyProtection="1">
      <alignment horizontal="right"/>
      <protection hidden="1"/>
    </xf>
    <xf numFmtId="0" fontId="0" fillId="10" borderId="3" xfId="0" applyFill="1" applyBorder="1" applyAlignment="1" applyProtection="1">
      <alignment horizontal="right"/>
      <protection hidden="1"/>
    </xf>
    <xf numFmtId="170" fontId="0" fillId="7" borderId="10" xfId="0" applyNumberFormat="1" applyFill="1" applyBorder="1" applyAlignment="1" applyProtection="1">
      <alignment horizontal="center"/>
      <protection hidden="1"/>
    </xf>
    <xf numFmtId="170" fontId="0" fillId="7" borderId="20" xfId="0" applyNumberFormat="1" applyFill="1" applyBorder="1" applyAlignment="1" applyProtection="1">
      <alignment horizontal="center"/>
      <protection hidden="1"/>
    </xf>
    <xf numFmtId="170" fontId="0" fillId="7" borderId="25" xfId="0" applyNumberFormat="1" applyFill="1" applyBorder="1" applyAlignment="1" applyProtection="1">
      <alignment horizontal="center"/>
      <protection hidden="1"/>
    </xf>
    <xf numFmtId="170" fontId="0" fillId="5" borderId="21" xfId="0" applyNumberFormat="1" applyFill="1" applyBorder="1" applyAlignment="1" applyProtection="1">
      <alignment horizontal="center"/>
      <protection hidden="1"/>
    </xf>
    <xf numFmtId="170" fontId="0" fillId="5" borderId="46" xfId="0" applyNumberFormat="1" applyFill="1" applyBorder="1" applyAlignment="1" applyProtection="1">
      <alignment horizontal="center"/>
      <protection hidden="1"/>
    </xf>
    <xf numFmtId="0" fontId="15" fillId="24" borderId="4" xfId="0" applyFont="1" applyFill="1" applyBorder="1" applyAlignment="1">
      <alignment horizontal="center" vertical="center"/>
    </xf>
    <xf numFmtId="0" fontId="15" fillId="24" borderId="5" xfId="0" applyFont="1" applyFill="1" applyBorder="1" applyAlignment="1">
      <alignment horizontal="center" vertical="center"/>
    </xf>
    <xf numFmtId="0" fontId="15" fillId="24" borderId="6" xfId="0" applyFont="1" applyFill="1" applyBorder="1" applyAlignment="1">
      <alignment horizontal="center" vertical="center"/>
    </xf>
    <xf numFmtId="0" fontId="15" fillId="24" borderId="14" xfId="0" applyFont="1" applyFill="1" applyBorder="1" applyAlignment="1">
      <alignment horizontal="center" vertical="center"/>
    </xf>
    <xf numFmtId="0" fontId="15" fillId="24" borderId="28" xfId="0" applyFont="1" applyFill="1" applyBorder="1" applyAlignment="1">
      <alignment horizontal="center" vertical="center"/>
    </xf>
    <xf numFmtId="0" fontId="15" fillId="24" borderId="29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right"/>
    </xf>
    <xf numFmtId="0" fontId="0" fillId="9" borderId="6" xfId="0" applyFill="1" applyBorder="1" applyAlignment="1">
      <alignment horizontal="right"/>
    </xf>
    <xf numFmtId="0" fontId="0" fillId="0" borderId="7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5" fillId="14" borderId="1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0" fillId="0" borderId="16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47" xfId="0" applyBorder="1" applyAlignment="1" applyProtection="1">
      <alignment horizontal="center"/>
      <protection hidden="1"/>
    </xf>
    <xf numFmtId="0" fontId="0" fillId="0" borderId="61" xfId="0" applyBorder="1" applyAlignment="1" applyProtection="1">
      <alignment horizontal="center"/>
      <protection hidden="1"/>
    </xf>
    <xf numFmtId="170" fontId="0" fillId="5" borderId="107" xfId="0" applyNumberFormat="1" applyFill="1" applyBorder="1" applyAlignment="1" applyProtection="1">
      <alignment horizontal="center"/>
      <protection hidden="1"/>
    </xf>
    <xf numFmtId="170" fontId="0" fillId="5" borderId="37" xfId="0" applyNumberFormat="1" applyFill="1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24" borderId="1" xfId="0" applyFill="1" applyBorder="1" applyAlignment="1" applyProtection="1">
      <alignment horizontal="right"/>
      <protection hidden="1"/>
    </xf>
    <xf numFmtId="0" fontId="0" fillId="24" borderId="2" xfId="0" applyFill="1" applyBorder="1" applyAlignment="1" applyProtection="1">
      <alignment horizontal="right"/>
      <protection hidden="1"/>
    </xf>
    <xf numFmtId="0" fontId="0" fillId="24" borderId="3" xfId="0" applyFill="1" applyBorder="1" applyAlignment="1" applyProtection="1">
      <alignment horizontal="right"/>
      <protection hidden="1"/>
    </xf>
    <xf numFmtId="170" fontId="0" fillId="5" borderId="26" xfId="0" applyNumberFormat="1" applyFill="1" applyBorder="1" applyAlignment="1" applyProtection="1">
      <alignment horizontal="center"/>
      <protection hidden="1"/>
    </xf>
    <xf numFmtId="170" fontId="0" fillId="5" borderId="30" xfId="0" applyNumberFormat="1" applyFill="1" applyBorder="1" applyAlignment="1" applyProtection="1">
      <alignment horizontal="center"/>
      <protection hidden="1"/>
    </xf>
    <xf numFmtId="0" fontId="14" fillId="14" borderId="4" xfId="0" applyFont="1" applyFill="1" applyBorder="1" applyAlignment="1" applyProtection="1">
      <alignment horizontal="center" vertical="center"/>
      <protection hidden="1"/>
    </xf>
    <xf numFmtId="0" fontId="14" fillId="14" borderId="6" xfId="0" applyFont="1" applyFill="1" applyBorder="1" applyAlignment="1" applyProtection="1">
      <alignment horizontal="center" vertical="center"/>
      <protection hidden="1"/>
    </xf>
    <xf numFmtId="0" fontId="14" fillId="14" borderId="18" xfId="0" applyFont="1" applyFill="1" applyBorder="1" applyAlignment="1" applyProtection="1">
      <alignment horizontal="center" vertical="center"/>
      <protection hidden="1"/>
    </xf>
    <xf numFmtId="0" fontId="14" fillId="14" borderId="32" xfId="0" applyFont="1" applyFill="1" applyBorder="1" applyAlignment="1" applyProtection="1">
      <alignment horizontal="center" vertical="center"/>
      <protection hidden="1"/>
    </xf>
    <xf numFmtId="0" fontId="14" fillId="14" borderId="14" xfId="0" applyFont="1" applyFill="1" applyBorder="1" applyAlignment="1" applyProtection="1">
      <alignment horizontal="center" vertical="center"/>
      <protection hidden="1"/>
    </xf>
    <xf numFmtId="0" fontId="14" fillId="14" borderId="29" xfId="0" applyFont="1" applyFill="1" applyBorder="1" applyAlignment="1" applyProtection="1">
      <alignment horizontal="center" vertical="center"/>
      <protection hidden="1"/>
    </xf>
    <xf numFmtId="0" fontId="0" fillId="17" borderId="1" xfId="0" applyFill="1" applyBorder="1" applyAlignment="1">
      <alignment horizontal="right"/>
    </xf>
    <xf numFmtId="0" fontId="0" fillId="17" borderId="2" xfId="0" applyFill="1" applyBorder="1" applyAlignment="1">
      <alignment horizontal="right"/>
    </xf>
    <xf numFmtId="0" fontId="0" fillId="17" borderId="3" xfId="0" applyFill="1" applyBorder="1" applyAlignment="1">
      <alignment horizontal="right"/>
    </xf>
    <xf numFmtId="0" fontId="15" fillId="27" borderId="4" xfId="0" applyFont="1" applyFill="1" applyBorder="1" applyAlignment="1" applyProtection="1">
      <alignment horizontal="center" vertical="center"/>
      <protection hidden="1"/>
    </xf>
    <xf numFmtId="0" fontId="15" fillId="27" borderId="5" xfId="0" applyFont="1" applyFill="1" applyBorder="1" applyAlignment="1" applyProtection="1">
      <alignment horizontal="center" vertical="center"/>
      <protection hidden="1"/>
    </xf>
    <xf numFmtId="0" fontId="15" fillId="27" borderId="6" xfId="0" applyFont="1" applyFill="1" applyBorder="1" applyAlignment="1" applyProtection="1">
      <alignment horizontal="center" vertical="center"/>
      <protection hidden="1"/>
    </xf>
    <xf numFmtId="0" fontId="15" fillId="27" borderId="14" xfId="0" applyFont="1" applyFill="1" applyBorder="1" applyAlignment="1" applyProtection="1">
      <alignment horizontal="center" vertical="center"/>
      <protection hidden="1"/>
    </xf>
    <xf numFmtId="0" fontId="15" fillId="27" borderId="28" xfId="0" applyFont="1" applyFill="1" applyBorder="1" applyAlignment="1" applyProtection="1">
      <alignment horizontal="center" vertical="center"/>
      <protection hidden="1"/>
    </xf>
    <xf numFmtId="0" fontId="15" fillId="27" borderId="29" xfId="0" applyFont="1" applyFill="1" applyBorder="1" applyAlignment="1" applyProtection="1">
      <alignment horizontal="center" vertical="center"/>
      <protection hidden="1"/>
    </xf>
    <xf numFmtId="0" fontId="3" fillId="0" borderId="28" xfId="0" applyFont="1" applyBorder="1" applyAlignment="1" applyProtection="1">
      <alignment horizontal="center"/>
      <protection hidden="1"/>
    </xf>
    <xf numFmtId="0" fontId="7" fillId="6" borderId="4" xfId="0" applyFont="1" applyFill="1" applyBorder="1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 vertical="center"/>
      <protection hidden="1"/>
    </xf>
    <xf numFmtId="0" fontId="7" fillId="6" borderId="6" xfId="0" applyFont="1" applyFill="1" applyBorder="1" applyAlignment="1" applyProtection="1">
      <alignment horizontal="center" vertical="center"/>
      <protection hidden="1"/>
    </xf>
    <xf numFmtId="0" fontId="7" fillId="6" borderId="14" xfId="0" applyFont="1" applyFill="1" applyBorder="1" applyAlignment="1" applyProtection="1">
      <alignment horizontal="center" vertical="center"/>
      <protection hidden="1"/>
    </xf>
    <xf numFmtId="0" fontId="7" fillId="6" borderId="28" xfId="0" applyFont="1" applyFill="1" applyBorder="1" applyAlignment="1" applyProtection="1">
      <alignment horizontal="center" vertical="center"/>
      <protection hidden="1"/>
    </xf>
    <xf numFmtId="0" fontId="7" fillId="6" borderId="29" xfId="0" applyFont="1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3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right" vertical="center"/>
      <protection hidden="1"/>
    </xf>
    <xf numFmtId="0" fontId="0" fillId="0" borderId="25" xfId="0" applyBorder="1" applyAlignment="1" applyProtection="1">
      <alignment horizontal="right" vertical="center"/>
      <protection hidden="1"/>
    </xf>
    <xf numFmtId="0" fontId="0" fillId="7" borderId="10" xfId="0" applyFill="1" applyBorder="1" applyAlignment="1" applyProtection="1">
      <alignment horizontal="right" vertical="center"/>
      <protection hidden="1"/>
    </xf>
    <xf numFmtId="0" fontId="0" fillId="7" borderId="25" xfId="0" applyFill="1" applyBorder="1" applyAlignment="1" applyProtection="1">
      <alignment horizontal="right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6" fillId="7" borderId="10" xfId="0" applyFont="1" applyFill="1" applyBorder="1" applyAlignment="1" applyProtection="1">
      <alignment horizontal="center" vertical="center"/>
      <protection hidden="1"/>
    </xf>
    <xf numFmtId="0" fontId="6" fillId="7" borderId="25" xfId="0" applyFont="1" applyFill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0" fillId="0" borderId="41" xfId="0" applyBorder="1" applyAlignment="1" applyProtection="1">
      <alignment horizontal="center" vertical="center"/>
      <protection hidden="1"/>
    </xf>
    <xf numFmtId="0" fontId="0" fillId="0" borderId="108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right" vertical="top"/>
      <protection hidden="1"/>
    </xf>
    <xf numFmtId="0" fontId="0" fillId="0" borderId="2" xfId="0" applyBorder="1" applyAlignment="1" applyProtection="1">
      <alignment horizontal="right" vertical="top"/>
      <protection hidden="1"/>
    </xf>
    <xf numFmtId="0" fontId="0" fillId="0" borderId="20" xfId="0" applyBorder="1" applyAlignment="1" applyProtection="1">
      <alignment horizontal="right" vertical="center"/>
      <protection hidden="1"/>
    </xf>
    <xf numFmtId="0" fontId="0" fillId="0" borderId="0" xfId="0" applyBorder="1" applyAlignment="1" applyProtection="1">
      <alignment horizontal="center" vertical="center" wrapText="1"/>
      <protection hidden="1"/>
    </xf>
    <xf numFmtId="0" fontId="0" fillId="0" borderId="0" xfId="0" applyBorder="1" applyAlignment="1" applyProtection="1">
      <alignment horizontal="center" vertical="top" wrapText="1"/>
      <protection hidden="1"/>
    </xf>
    <xf numFmtId="0" fontId="0" fillId="0" borderId="10" xfId="0" applyBorder="1" applyAlignment="1" applyProtection="1">
      <alignment wrapText="1"/>
      <protection hidden="1"/>
    </xf>
  </cellXfs>
  <cellStyles count="3">
    <cellStyle name="Comma" xfId="1" builtinId="3"/>
    <cellStyle name="Hyperlink" xfId="2" builtinId="8"/>
    <cellStyle name="Normal" xfId="0" builtinId="0"/>
  </cellStyles>
  <dxfs count="11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  <border>
        <top style="dashDot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  <border>
        <top style="dashDot">
          <color auto="1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theme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  <border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theme="7" tint="0.39994506668294322"/>
        </patternFill>
      </fill>
      <border>
        <top style="dashDot">
          <color auto="1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CA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070F2"/>
      <color rgb="FFE1CCFE"/>
      <color rgb="FFCFB2F6"/>
      <color rgb="FFE2F0DB"/>
      <color rgb="FFD1FFFF"/>
      <color rgb="FFCAD7EE"/>
      <color rgb="FFC0FDFE"/>
      <color rgb="FFB7E5FF"/>
      <color rgb="FFB4DFFA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2770909</xdr:colOff>
      <xdr:row>68</xdr:row>
      <xdr:rowOff>76199</xdr:rowOff>
    </xdr:from>
    <xdr:to>
      <xdr:col>15</xdr:col>
      <xdr:colOff>66675</xdr:colOff>
      <xdr:row>91</xdr:row>
      <xdr:rowOff>161924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CE48311-9001-75B3-54BB-E44399CCD8EC}"/>
            </a:ext>
          </a:extLst>
        </xdr:cNvPr>
        <xdr:cNvSpPr/>
      </xdr:nvSpPr>
      <xdr:spPr>
        <a:xfrm>
          <a:off x="10379364" y="16355290"/>
          <a:ext cx="3484129" cy="4311361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379330</xdr:colOff>
      <xdr:row>53</xdr:row>
      <xdr:rowOff>1839</xdr:rowOff>
    </xdr:from>
    <xdr:to>
      <xdr:col>9</xdr:col>
      <xdr:colOff>731755</xdr:colOff>
      <xdr:row>54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C4600F-C676-5146-996F-D78CF3C3463B}"/>
            </a:ext>
          </a:extLst>
        </xdr:cNvPr>
        <xdr:cNvSpPr txBox="1"/>
      </xdr:nvSpPr>
      <xdr:spPr>
        <a:xfrm>
          <a:off x="6341980" y="11031789"/>
          <a:ext cx="1333500" cy="331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Total Results</a:t>
          </a:r>
        </a:p>
      </xdr:txBody>
    </xdr:sp>
    <xdr:clientData/>
  </xdr:twoCellAnchor>
  <xdr:twoCellAnchor>
    <xdr:from>
      <xdr:col>15</xdr:col>
      <xdr:colOff>248803</xdr:colOff>
      <xdr:row>68</xdr:row>
      <xdr:rowOff>72737</xdr:rowOff>
    </xdr:from>
    <xdr:to>
      <xdr:col>16</xdr:col>
      <xdr:colOff>588818</xdr:colOff>
      <xdr:row>71</xdr:row>
      <xdr:rowOff>158462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CC3126-96F1-2362-DAF9-DEA0538D923B}"/>
            </a:ext>
          </a:extLst>
        </xdr:cNvPr>
        <xdr:cNvSpPr txBox="1"/>
      </xdr:nvSpPr>
      <xdr:spPr>
        <a:xfrm>
          <a:off x="14288076" y="17056101"/>
          <a:ext cx="1563833" cy="732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30000"/>
            <a:t>5</a:t>
          </a:r>
          <a:r>
            <a:rPr lang="en-US" sz="1200"/>
            <a:t>vCPUs = Threads per core * core count * sockets</a:t>
          </a:r>
        </a:p>
        <a:p>
          <a:endParaRPr lang="en-US" sz="1200"/>
        </a:p>
      </xdr:txBody>
    </xdr:sp>
    <xdr:clientData/>
  </xdr:twoCellAnchor>
  <xdr:twoCellAnchor>
    <xdr:from>
      <xdr:col>6</xdr:col>
      <xdr:colOff>610541</xdr:colOff>
      <xdr:row>71</xdr:row>
      <xdr:rowOff>93082</xdr:rowOff>
    </xdr:from>
    <xdr:to>
      <xdr:col>11</xdr:col>
      <xdr:colOff>504825</xdr:colOff>
      <xdr:row>73</xdr:row>
      <xdr:rowOff>26408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78DD6B-40C0-214C-BBBF-3B38A491C508}"/>
            </a:ext>
          </a:extLst>
        </xdr:cNvPr>
        <xdr:cNvSpPr txBox="1"/>
      </xdr:nvSpPr>
      <xdr:spPr>
        <a:xfrm>
          <a:off x="4306241" y="16628482"/>
          <a:ext cx="3866209" cy="36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Sizing Input for Configuration Calculators </a:t>
          </a:r>
        </a:p>
      </xdr:txBody>
    </xdr:sp>
    <xdr:clientData/>
  </xdr:twoCellAnchor>
  <xdr:twoCellAnchor>
    <xdr:from>
      <xdr:col>5</xdr:col>
      <xdr:colOff>253999</xdr:colOff>
      <xdr:row>25</xdr:row>
      <xdr:rowOff>0</xdr:rowOff>
    </xdr:from>
    <xdr:to>
      <xdr:col>10</xdr:col>
      <xdr:colOff>358776</xdr:colOff>
      <xdr:row>55</xdr:row>
      <xdr:rowOff>66674</xdr:rowOff>
    </xdr:to>
    <xdr:sp macro="" textlink="">
      <xdr:nvSpPr>
        <xdr:cNvPr id="15" name="Bent-Up Arrow 14">
          <a:extLst>
            <a:ext uri="{FF2B5EF4-FFF2-40B4-BE49-F238E27FC236}">
              <a16:creationId xmlns:a16="http://schemas.microsoft.com/office/drawing/2014/main" id="{9F828691-D405-2A4B-A1C7-90B35AF56241}"/>
            </a:ext>
          </a:extLst>
        </xdr:cNvPr>
        <xdr:cNvSpPr/>
      </xdr:nvSpPr>
      <xdr:spPr>
        <a:xfrm rot="5400000">
          <a:off x="2209801" y="6235698"/>
          <a:ext cx="6353174" cy="4465111"/>
        </a:xfrm>
        <a:prstGeom prst="bentUpArrow">
          <a:avLst>
            <a:gd name="adj1" fmla="val 7789"/>
            <a:gd name="adj2" fmla="val 6566"/>
            <a:gd name="adj3" fmla="val 10176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/>
            <a:t>       Scroll  for Rusults  --------&gt;</a:t>
          </a:r>
        </a:p>
      </xdr:txBody>
    </xdr:sp>
    <xdr:clientData/>
  </xdr:twoCellAnchor>
  <xdr:twoCellAnchor>
    <xdr:from>
      <xdr:col>5</xdr:col>
      <xdr:colOff>253997</xdr:colOff>
      <xdr:row>54</xdr:row>
      <xdr:rowOff>105837</xdr:rowOff>
    </xdr:from>
    <xdr:to>
      <xdr:col>11</xdr:col>
      <xdr:colOff>2666999</xdr:colOff>
      <xdr:row>71</xdr:row>
      <xdr:rowOff>95251</xdr:rowOff>
    </xdr:to>
    <xdr:sp macro="" textlink="">
      <xdr:nvSpPr>
        <xdr:cNvPr id="8" name="Bent-Up Arrow 14">
          <a:extLst>
            <a:ext uri="{FF2B5EF4-FFF2-40B4-BE49-F238E27FC236}">
              <a16:creationId xmlns:a16="http://schemas.microsoft.com/office/drawing/2014/main" id="{9E6517BC-8525-454B-9C1F-803F83948CC0}"/>
            </a:ext>
          </a:extLst>
        </xdr:cNvPr>
        <xdr:cNvSpPr/>
      </xdr:nvSpPr>
      <xdr:spPr>
        <a:xfrm rot="5400000">
          <a:off x="4039310" y="10588471"/>
          <a:ext cx="5341291" cy="7124293"/>
        </a:xfrm>
        <a:prstGeom prst="bentUpArrow">
          <a:avLst>
            <a:gd name="adj1" fmla="val 6492"/>
            <a:gd name="adj2" fmla="val 6443"/>
            <a:gd name="adj3" fmla="val 10496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800"/>
        </a:p>
      </xdr:txBody>
    </xdr:sp>
    <xdr:clientData/>
  </xdr:twoCellAnchor>
  <xdr:twoCellAnchor>
    <xdr:from>
      <xdr:col>7</xdr:col>
      <xdr:colOff>207819</xdr:colOff>
      <xdr:row>68</xdr:row>
      <xdr:rowOff>178482</xdr:rowOff>
    </xdr:from>
    <xdr:to>
      <xdr:col>11</xdr:col>
      <xdr:colOff>1889765</xdr:colOff>
      <xdr:row>70</xdr:row>
      <xdr:rowOff>71292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3875A4-4D6E-4DC0-B4E8-773DC8D9FD23}"/>
            </a:ext>
          </a:extLst>
        </xdr:cNvPr>
        <xdr:cNvSpPr txBox="1"/>
      </xdr:nvSpPr>
      <xdr:spPr>
        <a:xfrm>
          <a:off x="4802910" y="17369664"/>
          <a:ext cx="4695310" cy="3315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Calculate Per Worker Node Sizings</a:t>
          </a:r>
          <a:r>
            <a:rPr lang="en-US" sz="1600" baseline="0">
              <a:solidFill>
                <a:schemeClr val="bg1"/>
              </a:solidFill>
            </a:rPr>
            <a:t> 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623455</xdr:colOff>
      <xdr:row>53</xdr:row>
      <xdr:rowOff>34636</xdr:rowOff>
    </xdr:from>
    <xdr:to>
      <xdr:col>9</xdr:col>
      <xdr:colOff>654401</xdr:colOff>
      <xdr:row>54</xdr:row>
      <xdr:rowOff>158354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8BDDB3-B4A2-DE4F-8719-FCE7B579AD23}"/>
            </a:ext>
          </a:extLst>
        </xdr:cNvPr>
        <xdr:cNvSpPr txBox="1"/>
      </xdr:nvSpPr>
      <xdr:spPr>
        <a:xfrm>
          <a:off x="3521364" y="11360727"/>
          <a:ext cx="3586946" cy="331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Total Deployment</a:t>
          </a:r>
          <a:r>
            <a:rPr lang="en-US" sz="1600" baseline="0">
              <a:solidFill>
                <a:schemeClr val="bg1"/>
              </a:solidFill>
            </a:rPr>
            <a:t> Requirements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bm.com/docs/en/mas-cd/continuous-delivery?topic=pi-sizing-red-hat-openshift-container-platform-compute-nodes" TargetMode="External"/><Relationship Id="rId1" Type="http://schemas.openxmlformats.org/officeDocument/2006/relationships/hyperlink" Target="https://ibm-mas.github.io/mas-performance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DF65-547C-E24A-ADE5-31550730AC02}">
  <sheetPr codeName="Sheet1">
    <pageSetUpPr fitToPage="1"/>
  </sheetPr>
  <dimension ref="A1:Y95"/>
  <sheetViews>
    <sheetView showGridLines="0" showRowColHeaders="0" tabSelected="1" zoomScale="110" zoomScaleNormal="110" workbookViewId="0">
      <selection activeCell="N63" sqref="N63"/>
    </sheetView>
  </sheetViews>
  <sheetFormatPr baseColWidth="10" defaultColWidth="8.83203125" defaultRowHeight="16" x14ac:dyDescent="0.2"/>
  <cols>
    <col min="1" max="1" width="2.1640625" customWidth="1"/>
    <col min="2" max="2" width="7.83203125" hidden="1" customWidth="1"/>
    <col min="3" max="4" width="9.33203125" customWidth="1"/>
    <col min="5" max="5" width="17.1640625" customWidth="1"/>
    <col min="6" max="6" width="10.5" customWidth="1"/>
    <col min="7" max="7" width="11.83203125" customWidth="1"/>
    <col min="8" max="8" width="11.5" customWidth="1"/>
    <col min="9" max="9" width="12.83203125" customWidth="1"/>
    <col min="10" max="10" width="10.5" style="129" customWidth="1"/>
    <col min="11" max="11" width="3" style="129" customWidth="1"/>
    <col min="12" max="12" width="39.33203125" customWidth="1"/>
    <col min="13" max="13" width="16.1640625" customWidth="1"/>
    <col min="14" max="14" width="15.5" customWidth="1"/>
    <col min="15" max="15" width="16.83203125" customWidth="1"/>
    <col min="16" max="16" width="16" customWidth="1"/>
    <col min="17" max="17" width="9.83203125" customWidth="1"/>
    <col min="18" max="18" width="8.33203125" customWidth="1"/>
    <col min="19" max="19" width="9.33203125" customWidth="1"/>
    <col min="20" max="20" width="14.6640625" customWidth="1"/>
    <col min="21" max="21" width="17.33203125" customWidth="1"/>
    <col min="22" max="22" width="13.1640625" style="129" customWidth="1"/>
    <col min="23" max="23" width="14" style="129" customWidth="1"/>
    <col min="24" max="24" width="12.1640625" style="129" customWidth="1"/>
    <col min="25" max="25" width="14" customWidth="1"/>
    <col min="26" max="26" width="13.83203125" customWidth="1"/>
    <col min="27" max="27" width="10.5" customWidth="1"/>
    <col min="28" max="29" width="8.1640625" customWidth="1"/>
    <col min="30" max="30" width="9.83203125" customWidth="1"/>
    <col min="31" max="31" width="6.83203125" customWidth="1"/>
    <col min="32" max="32" width="10.1640625" customWidth="1"/>
    <col min="33" max="33" width="7.6640625" customWidth="1"/>
    <col min="34" max="34" width="7.5" customWidth="1"/>
    <col min="35" max="36" width="8.1640625" customWidth="1"/>
    <col min="37" max="37" width="9.5" customWidth="1"/>
    <col min="38" max="39" width="8.5" customWidth="1"/>
    <col min="40" max="40" width="10.6640625" customWidth="1"/>
    <col min="41" max="42" width="8.83203125" customWidth="1"/>
    <col min="43" max="44" width="10.1640625" customWidth="1"/>
    <col min="45" max="55" width="8.83203125" customWidth="1"/>
    <col min="56" max="56" width="10.1640625" customWidth="1"/>
    <col min="57" max="61" width="8.83203125" customWidth="1"/>
    <col min="62" max="62" width="10.83203125" customWidth="1"/>
    <col min="63" max="64" width="8.83203125" customWidth="1"/>
  </cols>
  <sheetData>
    <row r="1" spans="1:25" ht="7" customHeight="1" thickBot="1" x14ac:dyDescent="0.25">
      <c r="A1" s="5"/>
      <c r="B1" s="5"/>
      <c r="C1" s="5"/>
      <c r="D1" s="5"/>
      <c r="E1" s="5"/>
      <c r="F1" s="5"/>
      <c r="G1" s="5"/>
      <c r="H1" s="5"/>
      <c r="I1" s="5"/>
      <c r="J1" s="262"/>
      <c r="K1" s="262"/>
      <c r="L1" s="5"/>
      <c r="M1" s="5"/>
      <c r="N1" s="5"/>
      <c r="O1" s="5"/>
      <c r="P1" s="5"/>
      <c r="Q1" s="5"/>
      <c r="R1" s="5"/>
      <c r="S1" s="5"/>
      <c r="T1" s="5"/>
      <c r="U1" s="5"/>
      <c r="V1" s="262"/>
      <c r="W1" s="262"/>
      <c r="X1" s="262"/>
      <c r="Y1" s="5"/>
    </row>
    <row r="2" spans="1:25" ht="21" x14ac:dyDescent="0.25">
      <c r="A2" s="5"/>
      <c r="B2" s="5"/>
      <c r="C2" s="5"/>
      <c r="D2" s="5"/>
      <c r="E2" s="510" t="s">
        <v>314</v>
      </c>
      <c r="F2" s="511"/>
      <c r="G2" s="511"/>
      <c r="H2" s="511"/>
      <c r="I2" s="511"/>
      <c r="J2" s="511"/>
      <c r="K2" s="511"/>
      <c r="L2" s="512"/>
      <c r="M2" s="5"/>
      <c r="N2" s="5"/>
      <c r="O2" s="5"/>
      <c r="P2" s="5"/>
      <c r="Q2" s="5"/>
      <c r="R2" s="5"/>
      <c r="S2" s="5"/>
      <c r="T2" s="5"/>
      <c r="U2" s="5"/>
      <c r="V2" s="262"/>
      <c r="W2" s="262"/>
      <c r="X2" s="262"/>
      <c r="Y2" s="5"/>
    </row>
    <row r="3" spans="1:25" ht="20" thickBot="1" x14ac:dyDescent="0.3">
      <c r="A3" s="5"/>
      <c r="B3" s="5"/>
      <c r="C3" s="5"/>
      <c r="D3" s="5"/>
      <c r="E3" s="513" t="s">
        <v>237</v>
      </c>
      <c r="F3" s="514"/>
      <c r="G3" s="514"/>
      <c r="H3" s="514"/>
      <c r="I3" s="514"/>
      <c r="J3" s="514"/>
      <c r="K3" s="514"/>
      <c r="L3" s="51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7" thickBot="1" x14ac:dyDescent="0.25">
      <c r="A4" s="5"/>
      <c r="B4" s="5"/>
      <c r="C4" s="5"/>
      <c r="D4" s="5"/>
      <c r="E4" s="5"/>
      <c r="F4" s="5"/>
      <c r="G4" s="5"/>
      <c r="H4" s="5"/>
      <c r="I4" s="5"/>
      <c r="J4" s="262"/>
      <c r="K4" s="26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8" customHeight="1" x14ac:dyDescent="0.2">
      <c r="A5" s="5"/>
      <c r="B5" s="5"/>
      <c r="C5" s="520" t="s">
        <v>269</v>
      </c>
      <c r="D5" s="521"/>
      <c r="E5" s="522"/>
      <c r="F5" s="146" t="s">
        <v>11</v>
      </c>
      <c r="G5" s="5"/>
      <c r="H5" s="553" t="s">
        <v>43</v>
      </c>
      <c r="I5" s="554"/>
      <c r="J5" s="553" t="s">
        <v>126</v>
      </c>
      <c r="K5" s="572"/>
      <c r="L5" s="554"/>
      <c r="M5" s="526" t="s">
        <v>70</v>
      </c>
      <c r="N5" s="527"/>
      <c r="O5" s="526" t="s">
        <v>121</v>
      </c>
      <c r="P5" s="527"/>
      <c r="Q5" s="410"/>
      <c r="R5" s="5"/>
      <c r="S5" s="5"/>
      <c r="T5" s="5"/>
      <c r="U5" s="5"/>
      <c r="V5" s="5"/>
      <c r="W5" s="5"/>
      <c r="X5" s="5"/>
      <c r="Y5" s="5"/>
    </row>
    <row r="6" spans="1:25" ht="18" customHeight="1" thickBot="1" x14ac:dyDescent="0.25">
      <c r="A6" s="5"/>
      <c r="B6" s="5"/>
      <c r="C6" s="523" t="s">
        <v>270</v>
      </c>
      <c r="D6" s="524"/>
      <c r="E6" s="525"/>
      <c r="F6" s="147" t="s">
        <v>12</v>
      </c>
      <c r="G6" s="5"/>
      <c r="H6" s="555"/>
      <c r="I6" s="556"/>
      <c r="J6" s="555"/>
      <c r="K6" s="573"/>
      <c r="L6" s="556"/>
      <c r="M6" s="528"/>
      <c r="N6" s="529"/>
      <c r="O6" s="528"/>
      <c r="P6" s="529"/>
      <c r="Q6" s="410"/>
      <c r="R6" s="5"/>
      <c r="S6" s="5"/>
      <c r="T6" s="5"/>
      <c r="U6" s="5"/>
      <c r="V6" s="5"/>
      <c r="W6" s="5"/>
      <c r="X6" s="5"/>
      <c r="Y6" s="5"/>
    </row>
    <row r="7" spans="1:25" ht="18" customHeight="1" x14ac:dyDescent="0.2">
      <c r="A7" s="5"/>
      <c r="B7" s="5"/>
      <c r="C7" s="562" t="s">
        <v>271</v>
      </c>
      <c r="D7" s="563"/>
      <c r="E7" s="564"/>
      <c r="F7" s="146" t="s">
        <v>12</v>
      </c>
      <c r="G7" s="5"/>
      <c r="H7" s="555"/>
      <c r="I7" s="556"/>
      <c r="J7" s="555"/>
      <c r="K7" s="573"/>
      <c r="L7" s="556"/>
      <c r="M7" s="528"/>
      <c r="N7" s="529"/>
      <c r="O7" s="528"/>
      <c r="P7" s="529"/>
      <c r="Q7" s="410"/>
      <c r="R7" s="5"/>
      <c r="S7" s="5"/>
      <c r="T7" s="5"/>
      <c r="U7" s="5"/>
      <c r="V7" s="5"/>
      <c r="W7" s="5"/>
      <c r="X7" s="5"/>
      <c r="Y7" s="5"/>
    </row>
    <row r="8" spans="1:25" ht="18" customHeight="1" x14ac:dyDescent="0.2">
      <c r="A8" s="5"/>
      <c r="B8" s="5"/>
      <c r="C8" s="532" t="s">
        <v>272</v>
      </c>
      <c r="D8" s="533"/>
      <c r="E8" s="534"/>
      <c r="F8" s="148" t="s">
        <v>12</v>
      </c>
      <c r="G8" s="5"/>
      <c r="H8" s="555"/>
      <c r="I8" s="556"/>
      <c r="J8" s="555"/>
      <c r="K8" s="573"/>
      <c r="L8" s="556"/>
      <c r="M8" s="528"/>
      <c r="N8" s="529"/>
      <c r="O8" s="528"/>
      <c r="P8" s="529"/>
      <c r="Q8" s="410"/>
      <c r="R8" s="5"/>
      <c r="S8" s="5"/>
      <c r="T8" s="5"/>
      <c r="U8" s="5"/>
      <c r="V8" s="5"/>
      <c r="W8" s="5"/>
      <c r="X8" s="5"/>
      <c r="Y8" s="5"/>
    </row>
    <row r="9" spans="1:25" ht="18" customHeight="1" thickBot="1" x14ac:dyDescent="0.25">
      <c r="A9" s="5"/>
      <c r="B9" s="5"/>
      <c r="C9" s="532" t="s">
        <v>312</v>
      </c>
      <c r="D9" s="533"/>
      <c r="E9" s="534"/>
      <c r="F9" s="148" t="s">
        <v>12</v>
      </c>
      <c r="G9" s="5"/>
      <c r="H9" s="557"/>
      <c r="I9" s="558"/>
      <c r="J9" s="557"/>
      <c r="K9" s="574"/>
      <c r="L9" s="558"/>
      <c r="M9" s="530"/>
      <c r="N9" s="531"/>
      <c r="O9" s="530"/>
      <c r="P9" s="531"/>
      <c r="Q9" s="410"/>
      <c r="R9" s="5"/>
      <c r="S9" s="5"/>
      <c r="T9" s="5"/>
      <c r="U9" s="5"/>
      <c r="V9" s="5"/>
      <c r="W9" s="5"/>
      <c r="X9" s="5"/>
      <c r="Y9" s="5"/>
    </row>
    <row r="10" spans="1:25" ht="18" customHeight="1" x14ac:dyDescent="0.2">
      <c r="A10" s="5"/>
      <c r="B10" s="5"/>
      <c r="C10" s="550" t="s">
        <v>273</v>
      </c>
      <c r="D10" s="551"/>
      <c r="E10" s="552"/>
      <c r="F10" s="149" t="s">
        <v>11</v>
      </c>
      <c r="G10" s="5"/>
      <c r="H10" s="664"/>
      <c r="I10" s="664"/>
      <c r="J10" s="664"/>
      <c r="K10" s="664"/>
      <c r="L10" s="664"/>
      <c r="M10" s="665"/>
      <c r="N10" s="665"/>
      <c r="O10" s="665"/>
      <c r="P10" s="665"/>
      <c r="Q10" s="410"/>
      <c r="R10" s="5"/>
      <c r="S10" s="5"/>
      <c r="T10" s="5"/>
      <c r="U10" s="5"/>
      <c r="V10" s="5"/>
      <c r="W10" s="5"/>
      <c r="X10" s="5"/>
      <c r="Y10" s="5"/>
    </row>
    <row r="11" spans="1:25" ht="18" customHeight="1" thickBot="1" x14ac:dyDescent="0.25">
      <c r="A11" s="5"/>
      <c r="B11" s="5"/>
      <c r="C11" s="523" t="s">
        <v>274</v>
      </c>
      <c r="D11" s="524"/>
      <c r="E11" s="525"/>
      <c r="F11" s="147" t="s">
        <v>11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410"/>
      <c r="R11" s="5"/>
      <c r="S11" s="5"/>
      <c r="T11" s="5"/>
      <c r="U11" s="5"/>
      <c r="V11" s="5"/>
      <c r="W11" s="5"/>
      <c r="X11" s="5"/>
      <c r="Y11" s="5"/>
    </row>
    <row r="12" spans="1:25" ht="20" customHeight="1" thickBot="1" x14ac:dyDescent="0.25">
      <c r="A12" s="5"/>
      <c r="B12" s="5"/>
      <c r="C12" s="562" t="s">
        <v>275</v>
      </c>
      <c r="D12" s="563"/>
      <c r="E12" s="564"/>
      <c r="F12" s="146">
        <v>1</v>
      </c>
      <c r="G12" s="5"/>
      <c r="H12" s="483" t="s">
        <v>277</v>
      </c>
      <c r="I12" s="484"/>
      <c r="J12" s="48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0" customHeight="1" thickBot="1" x14ac:dyDescent="0.25">
      <c r="A13" s="5"/>
      <c r="B13" s="411"/>
      <c r="C13" s="532" t="s">
        <v>276</v>
      </c>
      <c r="D13" s="533"/>
      <c r="E13" s="534"/>
      <c r="F13" s="148" t="s">
        <v>12</v>
      </c>
      <c r="G13" s="5"/>
      <c r="H13" s="412" t="s">
        <v>264</v>
      </c>
      <c r="I13" s="200"/>
      <c r="J13" s="320"/>
      <c r="K13" s="5"/>
      <c r="L13" s="159"/>
      <c r="M13" s="176" t="s">
        <v>173</v>
      </c>
      <c r="N13" s="169" t="s">
        <v>176</v>
      </c>
      <c r="O13" s="169" t="s">
        <v>177</v>
      </c>
      <c r="P13" s="176" t="s">
        <v>178</v>
      </c>
      <c r="Q13" s="169" t="s">
        <v>146</v>
      </c>
      <c r="R13" s="5"/>
      <c r="S13" s="5"/>
      <c r="T13" s="5"/>
      <c r="U13" s="5"/>
      <c r="V13" s="5"/>
      <c r="W13" s="5"/>
      <c r="X13" s="5"/>
      <c r="Y13" s="5"/>
    </row>
    <row r="14" spans="1:25" ht="20" customHeight="1" thickBot="1" x14ac:dyDescent="0.25">
      <c r="A14" s="5"/>
      <c r="B14" s="411"/>
      <c r="C14" s="480" t="s">
        <v>268</v>
      </c>
      <c r="D14" s="481"/>
      <c r="E14" s="482"/>
      <c r="F14" s="154" t="s">
        <v>12</v>
      </c>
      <c r="G14" s="5"/>
      <c r="H14" s="413" t="s">
        <v>265</v>
      </c>
      <c r="I14" s="245"/>
      <c r="J14" s="269"/>
      <c r="K14" s="5"/>
      <c r="L14" s="161" t="str">
        <f>IF(F14="Y","Additional 20% Capacity Added:  ","")</f>
        <v/>
      </c>
      <c r="M14" s="414">
        <f>IF(F14="Y",ROUNDUP((M26+M37+M44)*0.2,0),0)</f>
        <v>0</v>
      </c>
      <c r="N14" s="415">
        <f>IF(F14="Y",ROUNDUP((N26+N37+N44)*0.2,0),0)</f>
        <v>0</v>
      </c>
      <c r="O14" s="416"/>
      <c r="P14" s="417"/>
      <c r="Q14" s="416"/>
      <c r="R14" s="5"/>
      <c r="S14" s="5"/>
      <c r="T14" s="5"/>
      <c r="U14" s="5"/>
      <c r="V14" s="5"/>
      <c r="W14" s="5"/>
      <c r="X14" s="5"/>
      <c r="Y14" s="5"/>
    </row>
    <row r="15" spans="1:25" ht="20" customHeight="1" thickBot="1" x14ac:dyDescent="0.25">
      <c r="A15" s="5"/>
      <c r="B15" s="5"/>
      <c r="C15" s="5"/>
      <c r="D15" s="5"/>
      <c r="E15" s="5"/>
      <c r="F15" s="418"/>
      <c r="G15" s="5"/>
      <c r="H15" s="5"/>
      <c r="I15" s="5"/>
      <c r="J15" s="5"/>
      <c r="K15" s="5"/>
      <c r="L15" s="160" t="s">
        <v>262</v>
      </c>
      <c r="M15" s="69">
        <f>M14+M26+M37+M44</f>
        <v>41</v>
      </c>
      <c r="N15" s="69">
        <f>N14+N26+N37+N44</f>
        <v>162</v>
      </c>
      <c r="O15" s="69">
        <f>O26+O37+O44</f>
        <v>1050</v>
      </c>
      <c r="P15" s="69">
        <f>P26+P37+P44</f>
        <v>300</v>
      </c>
      <c r="Q15" s="69">
        <f>P26</f>
        <v>2</v>
      </c>
      <c r="R15" s="5"/>
      <c r="S15" s="5"/>
      <c r="T15" s="5"/>
      <c r="U15" s="5"/>
      <c r="V15" s="5"/>
      <c r="W15" s="5"/>
      <c r="X15" s="5"/>
      <c r="Y15" s="5"/>
    </row>
    <row r="16" spans="1:25" ht="17" thickBot="1" x14ac:dyDescent="0.25">
      <c r="A16" s="5"/>
      <c r="B16" s="5"/>
      <c r="C16" s="5"/>
      <c r="D16" s="5"/>
      <c r="E16" s="94" t="s">
        <v>0</v>
      </c>
      <c r="F16" s="5"/>
      <c r="G16" s="570" t="s">
        <v>21</v>
      </c>
      <c r="H16" s="571"/>
      <c r="I16" s="570" t="s">
        <v>227</v>
      </c>
      <c r="J16" s="571"/>
      <c r="K16" s="5"/>
      <c r="L16" s="419" t="s">
        <v>263</v>
      </c>
      <c r="M16" s="166">
        <f>'Data Source'!D26</f>
        <v>12</v>
      </c>
      <c r="N16" s="166">
        <f>'Data Source'!E26</f>
        <v>48</v>
      </c>
      <c r="O16" s="166">
        <f>'Data Source'!F26</f>
        <v>360</v>
      </c>
      <c r="P16" s="166">
        <v>0</v>
      </c>
      <c r="Q16" s="166">
        <v>0</v>
      </c>
      <c r="R16" s="5"/>
      <c r="S16" s="5"/>
      <c r="T16" s="5"/>
      <c r="U16" s="5"/>
      <c r="V16" s="5"/>
      <c r="W16" s="5"/>
      <c r="X16" s="5"/>
      <c r="Y16" s="5"/>
    </row>
    <row r="17" spans="1:25" ht="18" thickBot="1" x14ac:dyDescent="0.25">
      <c r="A17" s="5"/>
      <c r="B17" s="5"/>
      <c r="C17" s="5"/>
      <c r="D17" s="5"/>
      <c r="E17" s="420"/>
      <c r="F17" s="421" t="s">
        <v>3</v>
      </c>
      <c r="G17" s="271" t="s">
        <v>5</v>
      </c>
      <c r="H17" s="422" t="s">
        <v>4</v>
      </c>
      <c r="I17" s="271" t="s">
        <v>5</v>
      </c>
      <c r="J17" s="422" t="s">
        <v>4</v>
      </c>
      <c r="K17" s="5"/>
      <c r="L17" s="168" t="s">
        <v>127</v>
      </c>
      <c r="M17" s="169" t="s">
        <v>173</v>
      </c>
      <c r="N17" s="169" t="s">
        <v>176</v>
      </c>
      <c r="O17" s="169" t="s">
        <v>177</v>
      </c>
      <c r="P17" s="170" t="s">
        <v>14</v>
      </c>
      <c r="Q17" s="5"/>
      <c r="R17" s="5"/>
      <c r="S17" s="5"/>
      <c r="T17" s="5"/>
      <c r="U17" s="5"/>
      <c r="V17" s="5"/>
      <c r="W17" s="5"/>
      <c r="X17" s="5"/>
      <c r="Y17" s="5"/>
    </row>
    <row r="18" spans="1:25" ht="18" customHeight="1" x14ac:dyDescent="0.2">
      <c r="A18" s="5"/>
      <c r="B18" s="196" t="s">
        <v>148</v>
      </c>
      <c r="C18" s="5"/>
      <c r="D18" s="559" t="s">
        <v>8</v>
      </c>
      <c r="E18" s="423" t="s">
        <v>1</v>
      </c>
      <c r="F18" s="141" t="s">
        <v>11</v>
      </c>
      <c r="G18" s="565" t="s">
        <v>244</v>
      </c>
      <c r="H18" s="567">
        <v>2</v>
      </c>
      <c r="I18" s="424" t="s">
        <v>24</v>
      </c>
      <c r="J18" s="150">
        <v>0</v>
      </c>
      <c r="K18" s="5"/>
      <c r="L18" s="38" t="str">
        <f>E18&amp;" - "&amp;IF(F18="Y","Calculated  ","Not Selected  ")</f>
        <v xml:space="preserve">Manage - Calculated  </v>
      </c>
      <c r="M18" s="70">
        <f>IF(ISERROR(VLOOKUP(L18,MASData,2,FALSE)),0,VLOOKUP(L18,MASData,2,FALSE))</f>
        <v>3.5</v>
      </c>
      <c r="N18" s="70">
        <f>IF(ISERROR(VLOOKUP(L18,MASData,3,FALSE)),0,VLOOKUP(L18,MASData,3,FALSE))</f>
        <v>19</v>
      </c>
      <c r="O18" s="70">
        <f>IF(ISERROR(VLOOKUP(L18,MASData,4,FALSE)),0,VLOOKUP(L18,MASData,4,FALSE))</f>
        <v>0</v>
      </c>
      <c r="P18" s="425"/>
      <c r="Q18" s="5"/>
      <c r="R18" s="5"/>
      <c r="S18" s="5"/>
      <c r="T18" s="5"/>
      <c r="U18" s="5"/>
      <c r="V18" s="5"/>
      <c r="W18" s="5"/>
      <c r="X18" s="5"/>
      <c r="Y18" s="5"/>
    </row>
    <row r="19" spans="1:25" ht="18" customHeight="1" x14ac:dyDescent="0.2">
      <c r="A19" s="5"/>
      <c r="B19" s="221" t="s">
        <v>11</v>
      </c>
      <c r="C19" s="5"/>
      <c r="D19" s="560"/>
      <c r="E19" s="426" t="s">
        <v>9</v>
      </c>
      <c r="F19" s="142" t="s">
        <v>12</v>
      </c>
      <c r="G19" s="566"/>
      <c r="H19" s="568"/>
      <c r="I19" s="427" t="s">
        <v>24</v>
      </c>
      <c r="J19" s="151">
        <v>0</v>
      </c>
      <c r="K19" s="5"/>
      <c r="L19" s="39" t="str">
        <f>E19&amp;" - "&amp;IF(F19="Y","Calculated  ","Not Selected  ")</f>
        <v xml:space="preserve">Health - Not Selected  </v>
      </c>
      <c r="M19" s="71">
        <f>IF(ISERROR(VLOOKUP(L19,MASData,2,FALSE)),0,VLOOKUP(L19,MASData,2,FALSE))</f>
        <v>0</v>
      </c>
      <c r="N19" s="71">
        <f>IF(ISERROR(VLOOKUP(L19,MASData,3,FALSE)),0,VLOOKUP(L19,MASData,3,FALSE))</f>
        <v>0</v>
      </c>
      <c r="O19" s="71">
        <f>IF(ISERROR(VLOOKUP(L19,MASData,4,FALSE)),0,VLOOKUP(L19,MASData,4,FALSE))</f>
        <v>0</v>
      </c>
      <c r="P19" s="428"/>
      <c r="Q19" s="5"/>
      <c r="R19" s="5"/>
      <c r="S19" s="5"/>
      <c r="T19" s="5"/>
      <c r="U19" s="5"/>
      <c r="V19" s="5"/>
      <c r="W19" s="5"/>
      <c r="X19" s="5"/>
      <c r="Y19" s="5"/>
    </row>
    <row r="20" spans="1:25" ht="18" customHeight="1" thickBot="1" x14ac:dyDescent="0.25">
      <c r="A20" s="5"/>
      <c r="B20" s="49" t="s">
        <v>12</v>
      </c>
      <c r="C20" s="5"/>
      <c r="D20" s="560"/>
      <c r="E20" s="429" t="s">
        <v>6</v>
      </c>
      <c r="F20" s="142" t="s">
        <v>12</v>
      </c>
      <c r="G20" s="430" t="s">
        <v>25</v>
      </c>
      <c r="H20" s="151">
        <v>2400</v>
      </c>
      <c r="I20" s="431" t="s">
        <v>24</v>
      </c>
      <c r="J20" s="152">
        <v>0</v>
      </c>
      <c r="K20" s="5"/>
      <c r="L20" s="39" t="str">
        <f>E20&amp;" - "&amp;'Data Source'!P7</f>
        <v xml:space="preserve">Monitor - Not Selected  </v>
      </c>
      <c r="M20" s="71">
        <f>IF(ISERROR(VLOOKUP(L20,MASData,2,FALSE)),0,VLOOKUP(L20,MASData,2,FALSE))</f>
        <v>0</v>
      </c>
      <c r="N20" s="71">
        <f>IF(ISERROR(VLOOKUP(L20,MASData,3,FALSE)),0,VLOOKUP(L20,MASData,3,FALSE))</f>
        <v>0</v>
      </c>
      <c r="O20" s="71">
        <f>IF(ISERROR(VLOOKUP(L20,MASData,4,FALSE)),0,VLOOKUP(L20,MASData,4,FALSE))</f>
        <v>0</v>
      </c>
      <c r="P20" s="428"/>
      <c r="Q20" s="5"/>
      <c r="R20" s="5"/>
      <c r="S20" s="5"/>
      <c r="T20" s="5"/>
      <c r="U20" s="5"/>
      <c r="V20" s="5"/>
      <c r="W20" s="5"/>
      <c r="X20" s="5"/>
      <c r="Y20" s="5"/>
    </row>
    <row r="21" spans="1:25" ht="18" customHeight="1" thickBot="1" x14ac:dyDescent="0.25">
      <c r="A21" s="5"/>
      <c r="B21" s="5"/>
      <c r="C21" s="5"/>
      <c r="D21" s="560"/>
      <c r="E21" s="426" t="s">
        <v>10</v>
      </c>
      <c r="F21" s="143" t="s">
        <v>12</v>
      </c>
      <c r="G21" s="430" t="s">
        <v>45</v>
      </c>
      <c r="H21" s="432">
        <f>'Predict Data Points'!D21</f>
        <v>2628000</v>
      </c>
      <c r="I21" s="433" t="str">
        <f>IF(F21="Y","&lt;--- Predict Data Points Tab","")</f>
        <v/>
      </c>
      <c r="J21" s="434"/>
      <c r="K21" s="5"/>
      <c r="L21" s="37" t="str">
        <f>E21&amp;" - "&amp;IF(AND(F21="Y",OR(F19="N",F20="N")),"Requires Health &amp; Monitor  ",'Data Source'!P11)</f>
        <v xml:space="preserve">Predict - Not Selected  </v>
      </c>
      <c r="M21" s="71">
        <f>IF(AND(F21="Y",OR(F19="N",F20="N")),"Error",IF(ISERROR(VLOOKUP(L21,MASData,2,FALSE)),0,VLOOKUP(L21,MASData,2,FALSE)))</f>
        <v>0</v>
      </c>
      <c r="N21" s="71">
        <f>IF(AND(F21="Y",OR(F19="N",F20="N")),"Error",IF(ISERROR(VLOOKUP(L21,MASData,3,FALSE)),0,VLOOKUP(L21,MASData,3,FALSE)))</f>
        <v>0</v>
      </c>
      <c r="O21" s="71">
        <f>IF(AND(F21="Y",OR(F19="N",F20="N")),"Error",IF(ISERROR(VLOOKUP(L21,MASData,4,FALSE)),0,VLOOKUP(L21,MASData,4,FALSE)))</f>
        <v>0</v>
      </c>
      <c r="P21" s="428"/>
      <c r="Q21" s="5"/>
      <c r="R21" s="5"/>
      <c r="S21" s="5"/>
      <c r="T21" s="5"/>
      <c r="U21" s="5"/>
      <c r="V21" s="5"/>
      <c r="W21" s="5"/>
      <c r="X21" s="5"/>
      <c r="Y21" s="5"/>
    </row>
    <row r="22" spans="1:25" ht="18" customHeight="1" x14ac:dyDescent="0.2">
      <c r="A22" s="5"/>
      <c r="B22" s="196" t="s">
        <v>147</v>
      </c>
      <c r="C22" s="5"/>
      <c r="D22" s="560"/>
      <c r="E22" s="426" t="s">
        <v>239</v>
      </c>
      <c r="F22" s="143" t="s">
        <v>12</v>
      </c>
      <c r="G22" s="435" t="s">
        <v>240</v>
      </c>
      <c r="H22" s="151">
        <v>0</v>
      </c>
      <c r="I22" s="436" t="str">
        <f>IF(AND(F18="Y",F22="Y"),"IT Only + Users","Concurrent Users")</f>
        <v>Concurrent Users</v>
      </c>
      <c r="J22" s="150">
        <v>0</v>
      </c>
      <c r="K22" s="5"/>
      <c r="L22" s="39" t="str">
        <f>E22&amp;" - "&amp;IF(F22="Y","Calculated  ","Not Selected  ")</f>
        <v xml:space="preserve">Maximo IT - Not Selected  </v>
      </c>
      <c r="M22" s="71">
        <f>IF(ISERROR(VLOOKUP(L22,MASData,2,FALSE)),0,VLOOKUP(L22,MASData,2,FALSE))</f>
        <v>0</v>
      </c>
      <c r="N22" s="71">
        <f>IF(ISERROR(VLOOKUP(L22,MASData,3,FALSE)),0,VLOOKUP(L22,MASData,3,FALSE))</f>
        <v>0</v>
      </c>
      <c r="O22" s="71">
        <f>IF(ISERROR(VLOOKUP(L22,MASData,4,FALSE)),0,VLOOKUP(L22,MASData,4,FALSE))</f>
        <v>0</v>
      </c>
      <c r="P22" s="437"/>
      <c r="Q22" s="5"/>
      <c r="R22" s="5"/>
      <c r="S22" s="5"/>
      <c r="T22" s="5"/>
      <c r="U22" s="5"/>
      <c r="V22" s="5"/>
      <c r="W22" s="5"/>
      <c r="X22" s="5"/>
      <c r="Y22" s="5"/>
    </row>
    <row r="23" spans="1:25" ht="18" customHeight="1" thickBot="1" x14ac:dyDescent="0.25">
      <c r="A23" s="5"/>
      <c r="B23" s="49" t="str">
        <f>IF(AND(COUNTIF(F18:F25,"Y")&gt;1,F23="Y",F11="Y"),"Y","N")</f>
        <v>Y</v>
      </c>
      <c r="C23" s="5"/>
      <c r="D23" s="560"/>
      <c r="E23" s="438" t="s">
        <v>18</v>
      </c>
      <c r="F23" s="144" t="s">
        <v>11</v>
      </c>
      <c r="G23" s="430" t="s">
        <v>24</v>
      </c>
      <c r="H23" s="151">
        <v>0</v>
      </c>
      <c r="I23" s="439"/>
      <c r="J23" s="440"/>
      <c r="K23" s="5"/>
      <c r="L23" s="39" t="str">
        <f>E23&amp;" - "&amp;'Data Source'!P14</f>
        <v xml:space="preserve">Visual Inspection - Xsmall/Min  </v>
      </c>
      <c r="M23" s="71">
        <f>IF(ISERROR(VLOOKUP(L23,MASData,2,FALSE)),0,VLOOKUP(L23,MASData,2,FALSE))</f>
        <v>4</v>
      </c>
      <c r="N23" s="71">
        <f>IF(ISERROR(VLOOKUP(L23,MASData,3,FALSE)),0,VLOOKUP(L23,MASData,3,FALSE))</f>
        <v>64</v>
      </c>
      <c r="O23" s="71">
        <f>IF(ISERROR(VLOOKUP(L23,MASData,4,FALSE)),0,VLOOKUP(L23,MASData,4,FALSE))</f>
        <v>115</v>
      </c>
      <c r="P23" s="72">
        <f>IF(ISERROR(VLOOKUP(L23,MASData,6,FALSE)),0,VLOOKUP(L23,MASData,6,FALSE))</f>
        <v>2</v>
      </c>
      <c r="Q23" s="5"/>
      <c r="R23" s="5"/>
      <c r="S23" s="5"/>
      <c r="T23" s="5"/>
      <c r="U23" s="5"/>
      <c r="V23" s="5"/>
      <c r="W23" s="5"/>
      <c r="X23" s="5"/>
      <c r="Y23" s="5"/>
    </row>
    <row r="24" spans="1:25" ht="18" customHeight="1" thickBot="1" x14ac:dyDescent="0.25">
      <c r="A24" s="5"/>
      <c r="B24" s="5"/>
      <c r="C24" s="5"/>
      <c r="D24" s="560"/>
      <c r="E24" s="438" t="s">
        <v>75</v>
      </c>
      <c r="F24" s="142" t="s">
        <v>12</v>
      </c>
      <c r="G24" s="430" t="s">
        <v>24</v>
      </c>
      <c r="H24" s="151">
        <v>0</v>
      </c>
      <c r="I24" s="439"/>
      <c r="J24" s="440"/>
      <c r="K24" s="5"/>
      <c r="L24" s="39" t="str">
        <f>E24&amp;" - "&amp;'Data Source'!P15</f>
        <v xml:space="preserve">Assist - Not Selected  </v>
      </c>
      <c r="M24" s="71">
        <f>IF(ISERROR(VLOOKUP(L24,MASData,2,FALSE)),0,VLOOKUP(L24,MASData,2,FALSE))</f>
        <v>0</v>
      </c>
      <c r="N24" s="71">
        <f>IF(ISERROR(VLOOKUP(L24,MASData,3,FALSE)),0,VLOOKUP(L24,MASData,3,FALSE))</f>
        <v>0</v>
      </c>
      <c r="O24" s="71">
        <f>IF(ISERROR(VLOOKUP(L24,MASData,4,FALSE)),0,VLOOKUP(L24,MASData,4,FALSE))</f>
        <v>0</v>
      </c>
      <c r="P24" s="428"/>
      <c r="Q24" s="5"/>
      <c r="R24" s="5"/>
      <c r="S24" s="5"/>
      <c r="T24" s="5"/>
      <c r="U24" s="5"/>
      <c r="V24" s="5"/>
      <c r="W24" s="5"/>
      <c r="X24" s="5"/>
      <c r="Y24" s="5"/>
    </row>
    <row r="25" spans="1:25" ht="18" customHeight="1" thickBot="1" x14ac:dyDescent="0.25">
      <c r="A25" s="5"/>
      <c r="B25" s="196" t="s">
        <v>188</v>
      </c>
      <c r="C25" s="5"/>
      <c r="D25" s="561"/>
      <c r="E25" s="441" t="s">
        <v>87</v>
      </c>
      <c r="F25" s="145" t="s">
        <v>12</v>
      </c>
      <c r="G25" s="442" t="s">
        <v>24</v>
      </c>
      <c r="H25" s="153">
        <v>0</v>
      </c>
      <c r="I25" s="443"/>
      <c r="J25" s="444"/>
      <c r="K25" s="5"/>
      <c r="L25" s="40" t="str">
        <f>E25&amp;" - "&amp;'Data Source'!P22</f>
        <v xml:space="preserve">Optimizer - Not Selected  </v>
      </c>
      <c r="M25" s="71">
        <f>IF(ISERROR(VLOOKUP(L25,MASData,2,FALSE)),0,VLOOKUP(L25,MASData,2,FALSE))</f>
        <v>0</v>
      </c>
      <c r="N25" s="71">
        <f>IF(ISERROR(VLOOKUP(L25,MASData,3,FALSE)),0,VLOOKUP(L25,MASData,3,FALSE))</f>
        <v>0</v>
      </c>
      <c r="O25" s="71">
        <f>IF(ISERROR(VLOOKUP(L25,MASData,4,FALSE)),0,VLOOKUP(L25,MASData,4,FALSE))</f>
        <v>0</v>
      </c>
      <c r="P25" s="445"/>
      <c r="Q25" s="5"/>
      <c r="R25" s="5"/>
      <c r="S25" s="5"/>
      <c r="T25" s="5"/>
      <c r="U25" s="5"/>
      <c r="V25" s="5"/>
      <c r="W25" s="5"/>
      <c r="X25" s="5"/>
      <c r="Y25" s="5"/>
    </row>
    <row r="26" spans="1:25" ht="17" thickBot="1" x14ac:dyDescent="0.25">
      <c r="A26" s="5"/>
      <c r="B26" s="49" t="str">
        <f>IF(OR(AND($F$18="Y",$F$7="N",$F$9="N"),AND($F$19="Y",$F$7="N",$F$9="N"),AND($F$20="Y",$F$8="N",$F$9="N"),AND($F$22="Y",$F$7="N",$F$9="N"),$F$21="Y"),"Y","N")</f>
        <v>Y</v>
      </c>
      <c r="C26" s="5"/>
      <c r="D26" s="5"/>
      <c r="E26" s="5"/>
      <c r="F26" s="5"/>
      <c r="G26" s="5"/>
      <c r="H26" s="5"/>
      <c r="I26" s="5"/>
      <c r="J26" s="262"/>
      <c r="K26" s="5"/>
      <c r="L26" s="178" t="s">
        <v>19</v>
      </c>
      <c r="M26" s="73">
        <f>SUM(M18:M25)</f>
        <v>7.5</v>
      </c>
      <c r="N26" s="73">
        <f>SUM(N18:N25)</f>
        <v>83</v>
      </c>
      <c r="O26" s="73">
        <f>SUM(O18:O25)</f>
        <v>115</v>
      </c>
      <c r="P26" s="74">
        <f>SUM(P18:P25)</f>
        <v>2</v>
      </c>
      <c r="Q26" s="5"/>
      <c r="R26" s="5"/>
      <c r="S26" s="5"/>
      <c r="T26" s="5"/>
      <c r="U26" s="5"/>
      <c r="V26" s="5"/>
      <c r="W26" s="5"/>
      <c r="X26" s="5"/>
      <c r="Y26" s="5"/>
    </row>
    <row r="27" spans="1:25" ht="15" customHeight="1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6" customHeight="1" thickBot="1" x14ac:dyDescent="0.25">
      <c r="A28" s="5"/>
      <c r="B28" s="196" t="s">
        <v>189</v>
      </c>
      <c r="C28" s="5"/>
      <c r="D28" s="5"/>
      <c r="E28" s="5"/>
      <c r="F28" s="5"/>
      <c r="G28" s="5"/>
      <c r="H28" s="5"/>
      <c r="I28" s="5"/>
      <c r="J28" s="5"/>
      <c r="K28" s="5"/>
      <c r="L28" s="168" t="s">
        <v>128</v>
      </c>
      <c r="M28" s="176" t="s">
        <v>173</v>
      </c>
      <c r="N28" s="169" t="s">
        <v>176</v>
      </c>
      <c r="O28" s="169" t="s">
        <v>177</v>
      </c>
      <c r="P28" s="176" t="s">
        <v>178</v>
      </c>
      <c r="Q28" s="5"/>
      <c r="R28" s="5"/>
      <c r="S28" s="5"/>
      <c r="T28" s="5"/>
      <c r="U28" s="5"/>
      <c r="V28" s="5"/>
      <c r="W28" s="5"/>
      <c r="X28" s="5"/>
      <c r="Y28" s="5"/>
    </row>
    <row r="29" spans="1:25" ht="16" customHeight="1" thickBot="1" x14ac:dyDescent="0.25">
      <c r="A29" s="5"/>
      <c r="B29" s="49" t="str">
        <f>IF(AND(OR(F7="N",F8="N"),F10="Y",COUNTIF(F18:F20,"Y")&gt;0),"Y","N")</f>
        <v>Y</v>
      </c>
      <c r="C29" s="5"/>
      <c r="D29" s="5"/>
      <c r="E29" s="5"/>
      <c r="F29" s="5"/>
      <c r="G29" s="576" t="s">
        <v>238</v>
      </c>
      <c r="H29" s="576"/>
      <c r="I29" s="576"/>
      <c r="J29" s="576"/>
      <c r="K29" s="262"/>
      <c r="L29" s="46" t="str">
        <f>E18&amp;"/"&amp;E19&amp;"/"&amp;"IT DB2 - "&amp;'Data Source'!B24</f>
        <v xml:space="preserve">Manage/Health/IT DB2 - Xsmall/Min  </v>
      </c>
      <c r="M29" s="75">
        <f>IF(F7="Y",0,IF(ISERROR(VLOOKUP(L29,MASData,2,FALSE)),0,VLOOKUP(L29,MASData,2,FALSE)))</f>
        <v>12</v>
      </c>
      <c r="N29" s="76">
        <f>IF(F7="Y",0,IF(ISERROR(VLOOKUP(L29,MASData,3,FALSE)),0,VLOOKUP(L29,MASData,3,FALSE)))</f>
        <v>48</v>
      </c>
      <c r="O29" s="76">
        <f>IF(ISERROR(VLOOKUP(L29,MASData,4,FALSE)),0,VLOOKUP(L29,MASData,4,FALSE))</f>
        <v>0</v>
      </c>
      <c r="P29" s="76">
        <f>IF(ISERROR(VLOOKUP(L29,MASData,5,FALSE)),0,VLOOKUP(L29,MASData,5,FALSE))</f>
        <v>298</v>
      </c>
      <c r="Q29" s="5"/>
      <c r="R29" s="5"/>
      <c r="S29" s="5"/>
      <c r="T29" s="5"/>
      <c r="U29" s="5"/>
      <c r="V29" s="5"/>
      <c r="W29" s="5"/>
      <c r="X29" s="5"/>
      <c r="Y29" s="5"/>
    </row>
    <row r="30" spans="1:25" ht="16" customHeight="1" thickBot="1" x14ac:dyDescent="0.25">
      <c r="A30" s="5"/>
      <c r="B30" s="5"/>
      <c r="C30" s="5"/>
      <c r="D30" s="5"/>
      <c r="E30" s="5"/>
      <c r="F30" s="5"/>
      <c r="G30" s="575" t="s">
        <v>232</v>
      </c>
      <c r="H30" s="569" t="str">
        <f>IF($F$18="Y","Manage Specific JVM Requirements","")</f>
        <v>Manage Specific JVM Requirements</v>
      </c>
      <c r="I30" s="569"/>
      <c r="J30" s="569"/>
      <c r="K30" s="5"/>
      <c r="L30" s="47" t="str">
        <f>E20&amp;" DB2 - "&amp;'Data Source'!P7</f>
        <v xml:space="preserve">Monitor DB2 - Not Selected  </v>
      </c>
      <c r="M30" s="77">
        <f>IF(F8="Y",0,IF(ISERROR(VLOOKUP(L30,MASData,2,FALSE)),0,VLOOKUP(L30,MASData,2,FALSE)))</f>
        <v>0</v>
      </c>
      <c r="N30" s="78">
        <f>IF(F8="Y",0,IF(ISERROR(VLOOKUP(L30,MASData,3,FALSE)),0,VLOOKUP(L30,MASData,3,FALSE)))</f>
        <v>0</v>
      </c>
      <c r="O30" s="77">
        <f>IF(F8="Y",0,IF(ISERROR(VLOOKUP(L30,MASData,4,FALSE)),0,VLOOKUP(L30,MASData,4,FALSE)))</f>
        <v>0</v>
      </c>
      <c r="P30" s="77">
        <f>IF(F8="Y",0,IF(ISERROR(VLOOKUP(L30,MASData,5,FALSE)),0,VLOOKUP(L30,MASData,5,FALSE)))</f>
        <v>0</v>
      </c>
      <c r="Q30" s="5"/>
      <c r="R30" s="5"/>
      <c r="S30" s="5"/>
      <c r="T30" s="5"/>
      <c r="U30" s="5"/>
      <c r="V30" s="5"/>
      <c r="W30" s="5"/>
      <c r="X30" s="5"/>
      <c r="Y30" s="5"/>
    </row>
    <row r="31" spans="1:25" ht="16" customHeight="1" x14ac:dyDescent="0.2">
      <c r="A31" s="5"/>
      <c r="B31" s="196" t="s">
        <v>190</v>
      </c>
      <c r="C31" s="5"/>
      <c r="D31" s="5"/>
      <c r="E31" s="5"/>
      <c r="F31" s="5"/>
      <c r="G31" s="575"/>
      <c r="H31" s="446" t="str">
        <f>IF($F$18="Y","MIF","")</f>
        <v>MIF</v>
      </c>
      <c r="I31" s="262" t="str">
        <f>IF($F$18="Y","Reporting","")</f>
        <v>Reporting</v>
      </c>
      <c r="J31" s="262" t="str">
        <f>IF($F$18="Y","Crontask","")</f>
        <v>Crontask</v>
      </c>
      <c r="K31" s="5"/>
      <c r="L31" s="47" t="str">
        <f>E18&amp;" - "&amp;IF(F18="Y", "(MIF, Rprt, Crontask) + Cognos + JMS  ","Not Selected  ")</f>
        <v xml:space="preserve">Manage - (MIF, Rprt, Crontask) + Cognos + JMS  </v>
      </c>
      <c r="M31" s="77">
        <f>IF(ISERROR(VLOOKUP(L31,MASData,2,FALSE)),0,VLOOKUP(L31,MASData,2,FALSE))+IF(F18="N",0,IF(ISERROR(VLOOKUP("Cognos",MASData,2,FALSE)),0,VLOOKUP("Cognos",MASData,2,FALSE)))</f>
        <v>0</v>
      </c>
      <c r="N31" s="78">
        <f>IF(ISERROR(VLOOKUP(L31,MASData,3,FALSE)),0,VLOOKUP(L31,MASData,3,FALSE))+IF(F18="N",0,IF(ISERROR(VLOOKUP("Cognos",MASData,3,FALSE)),0,VLOOKUP("Cognos",MASData,3,FALSE)))</f>
        <v>0</v>
      </c>
      <c r="O31" s="77">
        <f>IF(ISERROR(VLOOKUP(L31,MASData,4,FALSE)),0,VLOOKUP(L31,MASData,4,FALSE))+IF(F18="N",0,IF(ISERROR(VLOOKUP("Cognos",MASData,4,FALSE)),0,VLOOKUP("Cognos",MASData,4,FALSE)))</f>
        <v>0</v>
      </c>
      <c r="P31" s="77">
        <f>IF(ISERROR(VLOOKUP(L31,MASData,5,FALSE)),0,VLOOKUP(L31,MASData,5,FALSE))+IF(F18="N",0,IF(ISERROR(VLOOKUP("Cognos",MASData,5,FALSE)),0,VLOOKUP("Cognos",MASData,5,FALSE)))</f>
        <v>0</v>
      </c>
      <c r="Q31" s="5"/>
      <c r="R31" s="5"/>
      <c r="S31" s="5"/>
      <c r="T31" s="5"/>
      <c r="U31" s="5"/>
      <c r="V31" s="5"/>
      <c r="W31" s="5"/>
      <c r="X31" s="5"/>
      <c r="Y31" s="5"/>
    </row>
    <row r="32" spans="1:25" ht="16" customHeight="1" x14ac:dyDescent="0.2">
      <c r="A32" s="5"/>
      <c r="B32" s="221">
        <f>IF(AND(B29="N",B23="N"),M55,IF(AND(B29="Y",B23="Y"),M55-M29-M30-M23-(F12*'Development Detailed Report'!C19)-(F12*'Development Detailed Report'!C18)-(F12*'Development Detailed Report'!C12),IF(B23="Y",M55-M23-(F12*'Development Detailed Report'!C12),M55-M29-M30-(F12*'Development Detailed Report'!C19)-(F12*'Development Detailed Report'!C18))))</f>
        <v>48.5</v>
      </c>
      <c r="C32" s="5"/>
      <c r="D32" s="5"/>
      <c r="E32" s="5"/>
      <c r="F32" s="5"/>
      <c r="G32" s="476" t="s">
        <v>12</v>
      </c>
      <c r="H32" s="477">
        <v>0</v>
      </c>
      <c r="I32" s="477">
        <v>0</v>
      </c>
      <c r="J32" s="477">
        <v>0</v>
      </c>
      <c r="K32" s="5"/>
      <c r="L32" s="47" t="str">
        <f>E18&amp;" - "&amp;IF(F18="Y", "Industry Solutions  ","Not Selected  ")</f>
        <v xml:space="preserve">Manage - Industry Solutions  </v>
      </c>
      <c r="M32" s="77">
        <f>IF(AND(F18="Y",OR(J34="Y",I35="Y",H35="Y",G35="Y")),IF(ISERROR(VLOOKUP(L32,MASData,2,FALSE)),0,VLOOKUP(L32,MASData,2,FALSE)),0)</f>
        <v>0</v>
      </c>
      <c r="N32" s="78">
        <f>IF(AND(F18="Y",OR(J34="Y",I35="Y",H35="Y",G35="Y")),IF(ISERROR(VLOOKUP(L32,MASData,3,FALSE)),0,VLOOKUP(L32,MASData,3,FALSE)),0)</f>
        <v>0</v>
      </c>
      <c r="O32" s="77">
        <f>IF(AND(F18="Y",OR(J34="Y",I35="Y",H35="Y",G35="Y")),IF(ISERROR(VLOOKUP(L32,MASData,4,FALSE)),0,VLOOKUP(L32,MASData,4,FALSE)),0)</f>
        <v>0</v>
      </c>
      <c r="P32" s="77">
        <f>IF(AND(F18="Y",OR(J34="Y",I35="Y",H35="Y",G35="Y")),IF(ISERROR(VLOOKUP(L32,MASData,5,FALSE)),0,VLOOKUP(L32,MASData,5,FALSE)),0)</f>
        <v>0</v>
      </c>
      <c r="Q32" s="5"/>
      <c r="R32" s="5"/>
      <c r="S32" s="5"/>
      <c r="T32" s="5"/>
      <c r="U32" s="5"/>
      <c r="V32" s="5"/>
      <c r="W32" s="5"/>
      <c r="X32" s="5"/>
      <c r="Y32" s="5"/>
    </row>
    <row r="33" spans="1:25" ht="16" customHeight="1" x14ac:dyDescent="0.2">
      <c r="A33" s="5"/>
      <c r="B33" s="221">
        <f>IF(AND(B29="N",B23="N"),N55,IF(AND(B29="Y",B23="Y"),N55-N29-N30-N23-(F12*'Development Detailed Report'!D19)-(F12*'Development Detailed Report'!D18)-(F12*'Development Detailed Report'!D12),IF(B23="Y",N55-N23-(F12*'Development Detailed Report'!D12),N55-N29-N30-(F12*'Development Detailed Report'!D19)-(F12*'Development Detailed Report'!D18))))</f>
        <v>99</v>
      </c>
      <c r="C33" s="5"/>
      <c r="D33" s="5"/>
      <c r="E33" s="5"/>
      <c r="F33" s="5"/>
      <c r="G33" s="479" t="s">
        <v>250</v>
      </c>
      <c r="H33" s="479"/>
      <c r="I33" s="479"/>
      <c r="J33" s="447" t="s">
        <v>303</v>
      </c>
      <c r="K33" s="5"/>
      <c r="L33" s="47" t="str">
        <f>"Watson Studio - "&amp;'Data Source'!S51</f>
        <v xml:space="preserve">Watson Studio - Not Selected  </v>
      </c>
      <c r="M33" s="77">
        <f>IF(OR(M21="Error",M22="Error"),"Error",IF(ISERROR(VLOOKUP(L33,MASData,2,FALSE)),0,VLOOKUP(L33,MASData,2,FALSE)))</f>
        <v>0</v>
      </c>
      <c r="N33" s="78">
        <f>IF(OR(N21="Error",N22="Error"),"Error",IF(ISERROR(VLOOKUP(L33,MASData,3,FALSE)),0,VLOOKUP(L33,MASData,3,FALSE)))</f>
        <v>0</v>
      </c>
      <c r="O33" s="77">
        <f>IF(OR(O21="Error",O22="Error"),"Error",IF(ISERROR(VLOOKUP(L33,MASData,4,FALSE)),0,VLOOKUP(L33,MASData,4,FALSE)))</f>
        <v>0</v>
      </c>
      <c r="P33" s="72">
        <v>0</v>
      </c>
      <c r="Q33" s="5"/>
      <c r="R33" s="5"/>
      <c r="S33" s="5"/>
      <c r="T33" s="5"/>
      <c r="U33" s="5"/>
      <c r="V33" s="5"/>
      <c r="W33" s="5"/>
      <c r="X33" s="5"/>
      <c r="Y33" s="5"/>
    </row>
    <row r="34" spans="1:25" ht="16" customHeight="1" thickBot="1" x14ac:dyDescent="0.25">
      <c r="A34" s="5"/>
      <c r="B34" s="49">
        <f>IF(B23="N",Q55,Q55-P23-(F12*'Development Detailed Report'!F12))</f>
        <v>0</v>
      </c>
      <c r="C34" s="5"/>
      <c r="D34" s="448"/>
      <c r="E34" s="5"/>
      <c r="F34" s="449"/>
      <c r="G34" s="450" t="s">
        <v>278</v>
      </c>
      <c r="H34" s="16"/>
      <c r="I34" s="16"/>
      <c r="J34" s="476" t="s">
        <v>12</v>
      </c>
      <c r="K34" s="5"/>
      <c r="L34" s="47" t="str">
        <f>"Watson ML - "&amp;'Data Source'!P11</f>
        <v xml:space="preserve">Watson ML - Not Selected  </v>
      </c>
      <c r="M34" s="77">
        <f>IF(M21="Error","Error",IF(ISERROR(VLOOKUP(L34,MASData,2,FALSE)),0,VLOOKUP(L34,MASData,2,FALSE)))</f>
        <v>0</v>
      </c>
      <c r="N34" s="78">
        <f>IF(N21="Error","Error",IF(ISERROR(VLOOKUP(L34,MASData,3,FALSE)),0,VLOOKUP(L34,MASData,3,FALSE)))</f>
        <v>0</v>
      </c>
      <c r="O34" s="77">
        <f>IF(O21="Error","Error",IF(ISERROR(VLOOKUP(L34,MASData,4,FALSE)),0,VLOOKUP(L34,MASData,4,FALSE)))</f>
        <v>0</v>
      </c>
      <c r="P34" s="72">
        <v>0</v>
      </c>
      <c r="Q34" s="5"/>
      <c r="R34" s="5"/>
      <c r="S34" s="5"/>
      <c r="T34" s="5"/>
      <c r="U34" s="5"/>
      <c r="V34" s="5"/>
      <c r="W34" s="5"/>
      <c r="X34" s="5"/>
      <c r="Y34" s="5"/>
    </row>
    <row r="35" spans="1:25" ht="16" customHeight="1" thickBot="1" x14ac:dyDescent="0.25">
      <c r="A35" s="5"/>
      <c r="B35" s="5"/>
      <c r="C35" s="5"/>
      <c r="D35" s="5"/>
      <c r="E35" s="5"/>
      <c r="F35" s="449"/>
      <c r="G35" s="476" t="s">
        <v>12</v>
      </c>
      <c r="H35" s="5"/>
      <c r="I35" s="16"/>
      <c r="J35" s="262"/>
      <c r="K35" s="5"/>
      <c r="L35" s="48" t="str">
        <f>"Kafka - "&amp;'Data Source'!P7</f>
        <v xml:space="preserve">Kafka - Not Selected  </v>
      </c>
      <c r="M35" s="77">
        <f>IF(ISERROR(VLOOKUP(L35,MASData,2,FALSE)),0,VLOOKUP(L35,MASData,2,FALSE))</f>
        <v>0</v>
      </c>
      <c r="N35" s="78">
        <f>IF(ISERROR(VLOOKUP(L35,MASData,3,FALSE)),0,VLOOKUP(L35,MASData,3,FALSE))</f>
        <v>0</v>
      </c>
      <c r="O35" s="77">
        <f>IF(ISERROR(VLOOKUP(L35,MASData,4,FALSE)),0,VLOOKUP(L35,MASData,4,FALSE))</f>
        <v>0</v>
      </c>
      <c r="P35" s="72">
        <v>0</v>
      </c>
      <c r="Q35" s="5"/>
      <c r="R35" s="5"/>
      <c r="S35" s="5"/>
      <c r="T35" s="5"/>
      <c r="U35" s="5"/>
      <c r="V35" s="5"/>
      <c r="W35" s="5"/>
      <c r="X35" s="5"/>
      <c r="Y35" s="5"/>
    </row>
    <row r="36" spans="1:25" ht="16" customHeight="1" thickBot="1" x14ac:dyDescent="0.25">
      <c r="A36" s="5"/>
      <c r="B36" s="196" t="s">
        <v>191</v>
      </c>
      <c r="C36" s="5"/>
      <c r="D36" s="5"/>
      <c r="E36" s="5"/>
      <c r="F36" s="449"/>
      <c r="G36" s="5"/>
      <c r="H36" s="5"/>
      <c r="I36" s="5"/>
      <c r="J36" s="262"/>
      <c r="K36" s="5"/>
      <c r="L36" s="47" t="str">
        <f>"CouchDB - "&amp;'Data Source'!P15</f>
        <v xml:space="preserve">CouchDB - Not Selected  </v>
      </c>
      <c r="M36" s="79">
        <f>IF(ISERROR(VLOOKUP(L36,MASData,2,FALSE)),0,VLOOKUP(L36,MASData,2,FALSE))</f>
        <v>0</v>
      </c>
      <c r="N36" s="80">
        <f>IF(ISERROR(VLOOKUP(L36,MASData,3,FALSE)),0,VLOOKUP(L36,MASData,3,FALSE))</f>
        <v>0</v>
      </c>
      <c r="O36" s="79">
        <f>IF(ISERROR(VLOOKUP(L36,MASData,4,FALSE)),0,VLOOKUP(L36,MASData,4,FALSE))</f>
        <v>0</v>
      </c>
      <c r="P36" s="81">
        <v>0</v>
      </c>
      <c r="Q36" s="5"/>
      <c r="R36" s="5"/>
      <c r="S36" s="5"/>
      <c r="T36" s="5"/>
      <c r="U36" s="5"/>
      <c r="V36" s="5"/>
      <c r="W36" s="5"/>
      <c r="X36" s="5"/>
      <c r="Y36" s="5"/>
    </row>
    <row r="37" spans="1:25" ht="17" customHeight="1" thickBot="1" x14ac:dyDescent="0.25">
      <c r="A37" s="5"/>
      <c r="B37" s="221">
        <f>IF(B23="N",0,M23+(F12*'Development Detailed Report'!C12))</f>
        <v>8</v>
      </c>
      <c r="C37" s="5"/>
      <c r="D37" s="5"/>
      <c r="E37" s="5"/>
      <c r="F37" s="449"/>
      <c r="G37" s="5"/>
      <c r="H37" s="5"/>
      <c r="I37" s="5"/>
      <c r="J37" s="262"/>
      <c r="K37" s="5"/>
      <c r="L37" s="178" t="s">
        <v>150</v>
      </c>
      <c r="M37" s="82">
        <f>SUM(M29:M36)</f>
        <v>12</v>
      </c>
      <c r="N37" s="82">
        <f>SUM(N29:N36)</f>
        <v>48</v>
      </c>
      <c r="O37" s="82">
        <f>SUM(O29:O36)</f>
        <v>0</v>
      </c>
      <c r="P37" s="82">
        <f>SUM(P29:P36)</f>
        <v>298</v>
      </c>
      <c r="Q37" s="5"/>
      <c r="R37" s="5"/>
      <c r="S37" s="177"/>
      <c r="T37" s="5"/>
      <c r="U37" s="5"/>
      <c r="V37" s="5"/>
      <c r="W37" s="5"/>
      <c r="X37" s="5"/>
      <c r="Y37" s="5"/>
    </row>
    <row r="38" spans="1:25" ht="17" customHeight="1" thickBot="1" x14ac:dyDescent="0.25">
      <c r="A38" s="5"/>
      <c r="B38" s="221">
        <f>IF(B23="N",0,N23+(F12*'Development Detailed Report'!D12))</f>
        <v>128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51"/>
      <c r="T38" s="5"/>
      <c r="U38" s="5"/>
      <c r="V38" s="5"/>
      <c r="W38" s="5"/>
      <c r="X38" s="5"/>
      <c r="Y38" s="5"/>
    </row>
    <row r="39" spans="1:25" ht="17" customHeight="1" thickBot="1" x14ac:dyDescent="0.25">
      <c r="A39" s="5"/>
      <c r="B39" s="49">
        <f>IF(B23="N",0,Q55)</f>
        <v>3</v>
      </c>
      <c r="C39" s="5"/>
      <c r="D39" s="5"/>
      <c r="E39" s="5"/>
      <c r="F39" s="5"/>
      <c r="G39" s="5"/>
      <c r="H39" s="5"/>
      <c r="I39" s="452"/>
      <c r="J39" s="35"/>
      <c r="K39" s="5"/>
      <c r="L39" s="168" t="s">
        <v>138</v>
      </c>
      <c r="M39" s="176" t="s">
        <v>173</v>
      </c>
      <c r="N39" s="175" t="s">
        <v>176</v>
      </c>
      <c r="O39" s="175" t="s">
        <v>177</v>
      </c>
      <c r="P39" s="176" t="s">
        <v>178</v>
      </c>
      <c r="Q39" s="5"/>
      <c r="R39" s="5"/>
      <c r="S39" s="451"/>
      <c r="T39" s="5"/>
      <c r="U39" s="5"/>
      <c r="V39" s="5"/>
      <c r="W39" s="5"/>
      <c r="X39" s="5"/>
      <c r="Y39" s="5"/>
    </row>
    <row r="40" spans="1:25" ht="17" customHeight="1" thickBot="1" x14ac:dyDescent="0.25">
      <c r="A40" s="5"/>
      <c r="B40" s="5"/>
      <c r="C40" s="5"/>
      <c r="D40" s="5"/>
      <c r="E40" s="5"/>
      <c r="F40" s="5"/>
      <c r="G40" s="5"/>
      <c r="H40" s="5"/>
      <c r="I40" s="452"/>
      <c r="J40" s="35"/>
      <c r="K40" s="5"/>
      <c r="L40" s="62" t="str">
        <f>"MongoDB - "&amp;'Data Source'!S35</f>
        <v xml:space="preserve">MongoDB - Xsmall/Min  </v>
      </c>
      <c r="M40" s="83">
        <f>IF(ISERROR(VLOOKUP(L40,MASData,2,FALSE)),0,VLOOKUP(L40,MASData,2,FALSE))</f>
        <v>1.5</v>
      </c>
      <c r="N40" s="84">
        <f>IF(ISERROR(VLOOKUP(L40,MASData,3,FALSE)),0,VLOOKUP(L40,MASData,3,FALSE))</f>
        <v>3</v>
      </c>
      <c r="O40" s="83">
        <f>IF(ISERROR(VLOOKUP(L40,MASData,4,FALSE)),0,VLOOKUP(L40,MASData,4,FALSE))</f>
        <v>20</v>
      </c>
      <c r="P40" s="83">
        <f>IF(ISERROR(VLOOKUP(L40,MASData,5,FALSE)),0,VLOOKUP(L40,MASData,5,FALSE))</f>
        <v>0</v>
      </c>
      <c r="Q40" s="5"/>
      <c r="R40" s="5"/>
      <c r="S40" s="451"/>
      <c r="T40" s="5"/>
      <c r="U40" s="5"/>
      <c r="V40" s="5"/>
      <c r="W40" s="5"/>
      <c r="X40" s="5"/>
      <c r="Y40" s="5"/>
    </row>
    <row r="41" spans="1:25" ht="15.75" customHeight="1" x14ac:dyDescent="0.2">
      <c r="A41" s="5"/>
      <c r="B41" s="196" t="s">
        <v>192</v>
      </c>
      <c r="C41" s="5"/>
      <c r="D41" s="5"/>
      <c r="E41" s="5"/>
      <c r="F41" s="5"/>
      <c r="G41" s="5"/>
      <c r="H41" s="5"/>
      <c r="I41" s="452"/>
      <c r="J41" s="35"/>
      <c r="K41" s="5"/>
      <c r="L41" s="51" t="str">
        <f>IF(COUNTIF($F$18:$F$25,"Y")&gt;=1,"MAS Core  ","MAS Core - Not Selected  ")</f>
        <v xml:space="preserve">MAS Core  </v>
      </c>
      <c r="M41" s="77">
        <f>IF(ISERROR(VLOOKUP(L41,MASData,2,FALSE)),0,VLOOKUP(L41,MASData,2,FALSE))</f>
        <v>2</v>
      </c>
      <c r="N41" s="78">
        <f>IF(ISERROR(VLOOKUP(L41,MASData,3,FALSE)),0,VLOOKUP(L41,MASData,3,FALSE))</f>
        <v>2</v>
      </c>
      <c r="O41" s="78">
        <f>IF(ISERROR(VLOOKUP(L41,MASData,4,FALSE)),0,VLOOKUP(L41,MASData,4,FALSE))</f>
        <v>20</v>
      </c>
      <c r="P41" s="78">
        <f>IF(ISERROR(VLOOKUP(L41,MASData,5,FALSE)),0,VLOOKUP(L41,MASData,5,FALSE))</f>
        <v>0</v>
      </c>
      <c r="Q41" s="5"/>
      <c r="R41" s="5"/>
      <c r="S41" s="451"/>
      <c r="T41" s="5"/>
      <c r="U41" s="5"/>
      <c r="V41" s="5"/>
      <c r="W41" s="5"/>
      <c r="X41" s="5"/>
      <c r="Y41" s="5"/>
    </row>
    <row r="42" spans="1:25" ht="15.75" customHeight="1" x14ac:dyDescent="0.2">
      <c r="A42" s="5"/>
      <c r="B42" s="221">
        <f>IF(B29="N",0,M29+M30+(F12*'Development Detailed Report'!C18)+(F12*'Development Detailed Report'!C19))</f>
        <v>18</v>
      </c>
      <c r="C42" s="5"/>
      <c r="D42" s="5"/>
      <c r="E42" s="5"/>
      <c r="F42" s="5"/>
      <c r="G42" s="5"/>
      <c r="H42" s="5"/>
      <c r="I42" s="452"/>
      <c r="J42" s="35"/>
      <c r="K42" s="5"/>
      <c r="L42" s="51" t="str">
        <f>IF(COUNTIF($F$18:$F$25,"Y")&gt;=1,"OpenShift Worker Nodes - "&amp;'Data Source'!S35,"OpenShift Worker Nodes - Not Selected  ")</f>
        <v xml:space="preserve">OpenShift Worker Nodes - Xsmall/Min  </v>
      </c>
      <c r="M42" s="77">
        <f>IF(ISERROR(VLOOKUP(L42,MASData,2,FALSE)),0,VLOOKUP(L42,MASData,2,FALSE))</f>
        <v>4</v>
      </c>
      <c r="N42" s="78">
        <f>IF(ISERROR(VLOOKUP(L42,MASData,3,FALSE)),0,VLOOKUP(L42,MASData,3,FALSE))</f>
        <v>16</v>
      </c>
      <c r="O42" s="77">
        <f>IF(ISERROR(VLOOKUP(L42,MASData,4,FALSE)),0,VLOOKUP(L42,MASData,4,FALSE))</f>
        <v>240</v>
      </c>
      <c r="P42" s="77">
        <f>IF(ISERROR(VLOOKUP(L42,MASData,5,FALSE)),0,VLOOKUP(L42,MASData,5,FALSE))</f>
        <v>0</v>
      </c>
      <c r="Q42" s="5"/>
      <c r="R42" s="5"/>
      <c r="S42" s="451"/>
      <c r="T42" s="5"/>
      <c r="U42" s="5"/>
      <c r="V42" s="5"/>
      <c r="W42" s="5"/>
      <c r="X42" s="5"/>
      <c r="Y42" s="5"/>
    </row>
    <row r="43" spans="1:25" ht="15.75" customHeight="1" thickBot="1" x14ac:dyDescent="0.25">
      <c r="A43" s="5"/>
      <c r="B43" s="221">
        <f>IF(B29="N",0,N29+N30+(F12*'Development Detailed Report'!D18)+(F12*'Development Detailed Report'!D19))</f>
        <v>72</v>
      </c>
      <c r="C43" s="5"/>
      <c r="D43" s="5"/>
      <c r="E43" s="5"/>
      <c r="F43" s="5"/>
      <c r="G43" s="5"/>
      <c r="H43" s="453"/>
      <c r="I43" s="5"/>
      <c r="J43" s="262"/>
      <c r="K43" s="5"/>
      <c r="L43" s="63" t="str">
        <f>IF(B26="Y","CP4D Base  ","CP4D Base - Not Required  ")</f>
        <v xml:space="preserve">CP4D Base  </v>
      </c>
      <c r="M43" s="81">
        <f>IF($B$26="Y",IF(ISERROR(VLOOKUP(L43,MASData,2,FALSE)),0,VLOOKUP(L43,MASData,2,FALSE)),0)</f>
        <v>14</v>
      </c>
      <c r="N43" s="85">
        <f>IF(OR(AND($F$18="Y",$F$7="N"),AND($F$19="Y",$F$7="N"),AND($F$20="Y",$F$8="N"),$F$21="Y",$F$22="Y",$F$24="Y"),IF(ISERROR(VLOOKUP(L43,MASData,3,FALSE)),0,VLOOKUP(L43,MASData,3,FALSE)),0)</f>
        <v>10</v>
      </c>
      <c r="O43" s="81">
        <f>IF(OR(AND($F$18="Y",$F$7="N"),AND($F$19="Y",$F$7="N"),AND($F$20="Y",$F$8="N"),$F$21="Y",$F$22="Y",$F$24="Y"),IF(ISERROR(VLOOKUP(L43,MASData,4,FALSE)),0,VLOOKUP(L43,MASData,4,FALSE)),0)</f>
        <v>655</v>
      </c>
      <c r="P43" s="81">
        <f>IF(OR(AND($F$18="Y",$F$7="N"),AND($F$19="Y",$F$7="N"),AND($F$20="Y",$F$8="N"),$F$21="Y",$F$22="Y",$F$24="Y"),IF(ISERROR(VLOOKUP(L43,MASData,5,FALSE)),0,VLOOKUP(L43,MASData,5,FALSE)),0)</f>
        <v>0</v>
      </c>
      <c r="Q43" s="177"/>
      <c r="R43" s="5"/>
      <c r="S43" s="5"/>
      <c r="T43" s="5"/>
      <c r="U43" s="5"/>
      <c r="V43" s="5"/>
      <c r="W43" s="5"/>
      <c r="X43" s="5"/>
      <c r="Y43" s="5"/>
    </row>
    <row r="44" spans="1:25" ht="16" customHeight="1" thickBot="1" x14ac:dyDescent="0.25">
      <c r="A44" s="5"/>
      <c r="B44" s="49">
        <f>COUNTIF(M29:M30,"&gt;0")+COUNTIF(M29:M30,"&gt;0")*F12</f>
        <v>2</v>
      </c>
      <c r="C44" s="5"/>
      <c r="D44" s="5"/>
      <c r="E44" s="5"/>
      <c r="F44" s="5"/>
      <c r="G44" s="5"/>
      <c r="H44" s="453"/>
      <c r="I44" s="453"/>
      <c r="J44" s="262"/>
      <c r="K44" s="262"/>
      <c r="L44" s="94" t="s">
        <v>151</v>
      </c>
      <c r="M44" s="82">
        <f>SUM(M40:M43)</f>
        <v>21.5</v>
      </c>
      <c r="N44" s="82">
        <f>SUM(N40:N43)</f>
        <v>31</v>
      </c>
      <c r="O44" s="82">
        <f>SUM(O40:O43)</f>
        <v>935</v>
      </c>
      <c r="P44" s="82">
        <f>SUM(P40:P43)</f>
        <v>0</v>
      </c>
      <c r="Q44" s="5"/>
      <c r="R44" s="451"/>
      <c r="S44" s="5"/>
      <c r="T44" s="5"/>
      <c r="U44" s="5"/>
      <c r="V44" s="5"/>
      <c r="W44" s="5"/>
      <c r="X44" s="5"/>
      <c r="Y44" s="5"/>
    </row>
    <row r="45" spans="1:25" ht="16" customHeight="1" thickBot="1" x14ac:dyDescent="0.25">
      <c r="A45" s="5"/>
      <c r="B45" s="5"/>
      <c r="C45" s="5"/>
      <c r="D45" s="5"/>
      <c r="E45" s="5"/>
      <c r="F45" s="5"/>
      <c r="G45" s="5"/>
      <c r="H45" s="453"/>
      <c r="I45" s="453"/>
      <c r="J45" s="262"/>
      <c r="K45" s="262"/>
      <c r="L45" s="94"/>
      <c r="M45" s="58"/>
      <c r="N45" s="58"/>
      <c r="O45" s="58"/>
      <c r="P45" s="58"/>
      <c r="Q45" s="5"/>
      <c r="R45" s="451"/>
      <c r="S45" s="5"/>
      <c r="T45" s="5"/>
      <c r="U45" s="5"/>
      <c r="V45" s="5"/>
      <c r="W45" s="5"/>
      <c r="X45" s="5"/>
      <c r="Y45" s="5"/>
    </row>
    <row r="46" spans="1:25" ht="19" customHeight="1" x14ac:dyDescent="0.25">
      <c r="A46" s="5"/>
      <c r="B46" s="196" t="s">
        <v>195</v>
      </c>
      <c r="C46" s="5"/>
      <c r="D46" s="5"/>
      <c r="E46" s="5"/>
      <c r="F46" s="5"/>
      <c r="G46" s="5"/>
      <c r="H46" s="453"/>
      <c r="I46" s="453"/>
      <c r="J46" s="262"/>
      <c r="K46" s="262"/>
      <c r="L46" s="486" t="s">
        <v>155</v>
      </c>
      <c r="M46" s="487"/>
      <c r="N46" s="487"/>
      <c r="O46" s="487"/>
      <c r="P46" s="487"/>
      <c r="Q46" s="488"/>
      <c r="R46" s="451"/>
      <c r="S46" s="5"/>
      <c r="T46" s="5"/>
      <c r="U46" s="5"/>
      <c r="V46" s="5"/>
      <c r="W46" s="5"/>
      <c r="X46" s="5"/>
      <c r="Y46" s="5"/>
    </row>
    <row r="47" spans="1:25" ht="17" customHeight="1" thickBot="1" x14ac:dyDescent="0.25">
      <c r="A47" s="5"/>
      <c r="B47" s="49">
        <f>COUNTIF(L18:L43,"*Beyond Large*")</f>
        <v>0</v>
      </c>
      <c r="C47" s="5"/>
      <c r="D47" s="5"/>
      <c r="E47" s="5"/>
      <c r="F47" s="5"/>
      <c r="G47" s="5"/>
      <c r="H47" s="5"/>
      <c r="I47" s="453"/>
      <c r="J47" s="262"/>
      <c r="K47" s="262"/>
      <c r="L47" s="61" t="s">
        <v>71</v>
      </c>
      <c r="M47" s="454" t="s">
        <v>173</v>
      </c>
      <c r="N47" s="454" t="s">
        <v>176</v>
      </c>
      <c r="O47" s="454" t="s">
        <v>177</v>
      </c>
      <c r="P47" s="454" t="s">
        <v>178</v>
      </c>
      <c r="Q47" s="455" t="s">
        <v>146</v>
      </c>
      <c r="R47" s="5"/>
      <c r="S47" s="5"/>
      <c r="T47" s="5"/>
      <c r="U47" s="5"/>
      <c r="V47" s="5"/>
      <c r="W47" s="5"/>
      <c r="X47" s="5"/>
      <c r="Y47" s="5"/>
    </row>
    <row r="48" spans="1:25" ht="17" customHeight="1" thickBot="1" x14ac:dyDescent="0.25">
      <c r="A48" s="5"/>
      <c r="B48" s="5"/>
      <c r="C48" s="5"/>
      <c r="D48" s="5"/>
      <c r="E48" s="5"/>
      <c r="F48" s="5"/>
      <c r="G48" s="5"/>
      <c r="H48" s="5"/>
      <c r="I48" s="453"/>
      <c r="J48" s="5"/>
      <c r="K48" s="5"/>
      <c r="L48" s="456" t="s">
        <v>144</v>
      </c>
      <c r="M48" s="86">
        <f>M14+M26+M37+M44</f>
        <v>41</v>
      </c>
      <c r="N48" s="86">
        <f>N14+N26+N37+N44</f>
        <v>162</v>
      </c>
      <c r="O48" s="86">
        <f>O26+O37+O44</f>
        <v>1050</v>
      </c>
      <c r="P48" s="86">
        <f>P37+P44</f>
        <v>298</v>
      </c>
      <c r="Q48" s="87">
        <f>P26</f>
        <v>2</v>
      </c>
      <c r="R48" s="5"/>
      <c r="S48" s="5"/>
      <c r="T48" s="5"/>
      <c r="U48" s="5"/>
      <c r="V48" s="5"/>
      <c r="W48" s="5"/>
      <c r="X48" s="5"/>
      <c r="Y48" s="5"/>
    </row>
    <row r="49" spans="1:25" ht="17" customHeight="1" x14ac:dyDescent="0.2">
      <c r="A49" s="5"/>
      <c r="B49" s="196" t="s">
        <v>248</v>
      </c>
      <c r="C49" s="5"/>
      <c r="D49" s="5"/>
      <c r="E49" s="5"/>
      <c r="F49" s="5"/>
      <c r="G49" s="5"/>
      <c r="H49" s="5"/>
      <c r="I49" s="5"/>
      <c r="J49" s="5"/>
      <c r="K49" s="5"/>
      <c r="L49" s="489" t="s">
        <v>156</v>
      </c>
      <c r="M49" s="490"/>
      <c r="N49" s="490"/>
      <c r="O49" s="490"/>
      <c r="P49" s="490"/>
      <c r="Q49" s="491"/>
      <c r="R49" s="5"/>
      <c r="S49" s="5"/>
      <c r="T49" s="5"/>
      <c r="U49" s="5"/>
      <c r="V49" s="5"/>
      <c r="W49" s="5"/>
      <c r="X49" s="5"/>
      <c r="Y49" s="5"/>
    </row>
    <row r="50" spans="1:25" ht="16" customHeight="1" x14ac:dyDescent="0.2">
      <c r="A50" s="5"/>
      <c r="B50" s="457">
        <f>N60</f>
        <v>4</v>
      </c>
      <c r="C50" s="5"/>
      <c r="D50" s="5"/>
      <c r="E50" s="5"/>
      <c r="F50" s="5"/>
      <c r="G50" s="5"/>
      <c r="H50" s="5"/>
      <c r="I50" s="5"/>
      <c r="J50" s="5"/>
      <c r="K50" s="5"/>
      <c r="L50" s="458" t="str">
        <f>"Total Development Clusters:  "</f>
        <v xml:space="preserve">Total Development Clusters:  </v>
      </c>
      <c r="M50" s="459">
        <f>F12</f>
        <v>1</v>
      </c>
      <c r="N50" s="164"/>
      <c r="O50" s="164"/>
      <c r="P50" s="164"/>
      <c r="Q50" s="185"/>
      <c r="R50" s="5"/>
      <c r="S50" s="460"/>
      <c r="T50" s="5"/>
      <c r="U50" s="5"/>
      <c r="V50" s="5"/>
      <c r="W50" s="5"/>
      <c r="X50" s="5"/>
      <c r="Y50" s="5"/>
    </row>
    <row r="51" spans="1:25" ht="20" customHeight="1" x14ac:dyDescent="0.2">
      <c r="A51" s="5"/>
      <c r="B51" s="221">
        <f>IF(N61="",0,N61)</f>
        <v>3</v>
      </c>
      <c r="C51" s="5"/>
      <c r="D51" s="5"/>
      <c r="E51" s="5"/>
      <c r="F51" s="5"/>
      <c r="G51" s="5"/>
      <c r="H51" s="5"/>
      <c r="I51" s="5"/>
      <c r="J51" s="5"/>
      <c r="K51" s="5"/>
      <c r="L51" s="136" t="s">
        <v>71</v>
      </c>
      <c r="M51" s="454" t="s">
        <v>173</v>
      </c>
      <c r="N51" s="454" t="s">
        <v>176</v>
      </c>
      <c r="O51" s="454" t="s">
        <v>177</v>
      </c>
      <c r="P51" s="454" t="s">
        <v>178</v>
      </c>
      <c r="Q51" s="455" t="s">
        <v>146</v>
      </c>
      <c r="R51" s="5"/>
      <c r="S51" s="460"/>
      <c r="T51" s="5"/>
      <c r="U51" s="5"/>
      <c r="V51" s="5"/>
      <c r="W51" s="5"/>
      <c r="X51" s="5"/>
      <c r="Y51" s="5"/>
    </row>
    <row r="52" spans="1:25" ht="20" customHeight="1" thickBot="1" x14ac:dyDescent="0.25">
      <c r="A52" s="5"/>
      <c r="B52" s="221">
        <f>IF(N62="",0,N62)</f>
        <v>2</v>
      </c>
      <c r="C52" s="5"/>
      <c r="D52" s="5"/>
      <c r="E52" s="5"/>
      <c r="F52" s="5"/>
      <c r="G52" s="5"/>
      <c r="H52" s="5"/>
      <c r="I52" s="5"/>
      <c r="J52" s="5"/>
      <c r="K52" s="5"/>
      <c r="L52" s="456" t="s">
        <v>149</v>
      </c>
      <c r="M52" s="137">
        <f>'Development Detailed Report'!C38</f>
        <v>33.5</v>
      </c>
      <c r="N52" s="137">
        <f>'Development Detailed Report'!D38</f>
        <v>137</v>
      </c>
      <c r="O52" s="137">
        <f>'Development Detailed Report'!E38</f>
        <v>1050</v>
      </c>
      <c r="P52" s="137">
        <f>IF(F13="Y",P48,'Development Detailed Report'!F38)</f>
        <v>256</v>
      </c>
      <c r="Q52" s="138">
        <f>'Development Detailed Report'!G38</f>
        <v>1</v>
      </c>
      <c r="R52" s="5"/>
      <c r="S52" s="460"/>
      <c r="T52" s="5"/>
      <c r="U52" s="5"/>
      <c r="V52" s="5"/>
      <c r="W52" s="5"/>
      <c r="X52" s="5"/>
      <c r="Y52" s="5"/>
    </row>
    <row r="53" spans="1:25" ht="20" customHeight="1" thickBot="1" x14ac:dyDescent="0.3">
      <c r="A53" s="5"/>
      <c r="B53" s="461">
        <f>SUM(B50:B52)</f>
        <v>9</v>
      </c>
      <c r="C53" s="5"/>
      <c r="D53" s="5"/>
      <c r="E53" s="5"/>
      <c r="F53" s="5"/>
      <c r="G53" s="5"/>
      <c r="H53" s="5"/>
      <c r="I53" s="5"/>
      <c r="J53" s="5"/>
      <c r="K53" s="5"/>
      <c r="L53" s="494" t="s">
        <v>172</v>
      </c>
      <c r="M53" s="495"/>
      <c r="N53" s="495"/>
      <c r="O53" s="495"/>
      <c r="P53" s="495"/>
      <c r="Q53" s="496"/>
      <c r="R53" s="5"/>
      <c r="S53" s="460"/>
      <c r="T53" s="5"/>
      <c r="U53" s="5"/>
      <c r="V53" s="5"/>
      <c r="W53" s="5"/>
      <c r="X53" s="5"/>
      <c r="Y53" s="5"/>
    </row>
    <row r="54" spans="1:25" ht="16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06" t="s">
        <v>71</v>
      </c>
      <c r="M54" s="454" t="s">
        <v>173</v>
      </c>
      <c r="N54" s="454" t="s">
        <v>176</v>
      </c>
      <c r="O54" s="454" t="s">
        <v>177</v>
      </c>
      <c r="P54" s="454" t="s">
        <v>178</v>
      </c>
      <c r="Q54" s="455" t="s">
        <v>146</v>
      </c>
      <c r="R54" s="5"/>
      <c r="S54" s="5"/>
      <c r="T54" s="5"/>
      <c r="U54" s="5"/>
      <c r="V54" s="5"/>
      <c r="W54" s="5"/>
      <c r="X54" s="5"/>
      <c r="Y54" s="5"/>
    </row>
    <row r="55" spans="1:25" ht="17" customHeight="1" thickBot="1" x14ac:dyDescent="0.25">
      <c r="A55" s="5"/>
      <c r="B55" s="5" t="s">
        <v>280</v>
      </c>
      <c r="C55" s="5"/>
      <c r="D55" s="5"/>
      <c r="E55" s="5"/>
      <c r="F55" s="5"/>
      <c r="G55" s="5"/>
      <c r="H55" s="5"/>
      <c r="I55" s="5"/>
      <c r="J55" s="5"/>
      <c r="K55" s="5"/>
      <c r="L55" s="507"/>
      <c r="M55" s="88">
        <f>M48+M52</f>
        <v>74.5</v>
      </c>
      <c r="N55" s="88">
        <f>N48+N52</f>
        <v>299</v>
      </c>
      <c r="O55" s="88">
        <f>O48+O52</f>
        <v>2100</v>
      </c>
      <c r="P55" s="88">
        <f>P48+P52</f>
        <v>554</v>
      </c>
      <c r="Q55" s="89">
        <f>Q48+Q52</f>
        <v>3</v>
      </c>
      <c r="R55" s="5"/>
      <c r="S55" s="5"/>
      <c r="T55" s="5"/>
      <c r="U55" s="5"/>
      <c r="V55" s="5"/>
      <c r="W55" s="5"/>
      <c r="X55" s="5"/>
      <c r="Y55" s="5"/>
    </row>
    <row r="56" spans="1:25" ht="25" customHeight="1" thickBot="1" x14ac:dyDescent="0.25">
      <c r="A56" s="5"/>
      <c r="B56" s="196" t="s">
        <v>281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25" customHeight="1" thickBot="1" x14ac:dyDescent="0.25">
      <c r="A57" s="5"/>
      <c r="B57" s="221" t="s">
        <v>282</v>
      </c>
      <c r="C57" s="5"/>
      <c r="D57" s="5"/>
      <c r="E57" s="5"/>
      <c r="F57" s="5"/>
      <c r="G57" s="5"/>
      <c r="H57" s="5"/>
      <c r="I57" s="5"/>
      <c r="J57" s="5"/>
      <c r="K57" s="5"/>
      <c r="L57" s="503" t="s">
        <v>194</v>
      </c>
      <c r="M57" s="504"/>
      <c r="N57" s="504"/>
      <c r="O57" s="504"/>
      <c r="P57" s="504"/>
      <c r="Q57" s="505"/>
      <c r="R57" s="5"/>
      <c r="S57" s="5"/>
      <c r="T57" s="5"/>
      <c r="U57" s="5"/>
      <c r="V57" s="5"/>
      <c r="W57" s="5"/>
      <c r="X57" s="5"/>
      <c r="Y57" s="5"/>
    </row>
    <row r="58" spans="1:25" ht="22" customHeight="1" thickBot="1" x14ac:dyDescent="0.25">
      <c r="A58" s="5"/>
      <c r="B58" s="221">
        <f>IF(25*B32&lt;380,380,25*B32)</f>
        <v>1212.5</v>
      </c>
      <c r="C58" s="5"/>
      <c r="D58" s="5"/>
      <c r="E58" s="5"/>
      <c r="F58" s="5"/>
      <c r="G58" s="5"/>
      <c r="H58" s="5"/>
      <c r="I58" s="5"/>
      <c r="J58" s="5"/>
      <c r="K58" s="5"/>
      <c r="L58" s="492" t="s">
        <v>23</v>
      </c>
      <c r="M58" s="493"/>
      <c r="N58" s="462" t="s">
        <v>84</v>
      </c>
      <c r="O58" s="463" t="s">
        <v>174</v>
      </c>
      <c r="P58" s="464" t="s">
        <v>162</v>
      </c>
      <c r="Q58" s="465" t="s">
        <v>163</v>
      </c>
      <c r="R58" s="5"/>
      <c r="S58" s="5"/>
      <c r="T58" s="5"/>
      <c r="U58" s="5"/>
      <c r="V58" s="5"/>
      <c r="W58" s="5"/>
      <c r="X58" s="5"/>
      <c r="Y58" s="5"/>
    </row>
    <row r="59" spans="1:25" ht="43" customHeight="1" thickBot="1" x14ac:dyDescent="0.25">
      <c r="A59" s="5"/>
      <c r="B59" s="221" t="s">
        <v>283</v>
      </c>
      <c r="C59" s="5"/>
      <c r="D59" s="5"/>
      <c r="E59" s="5"/>
      <c r="F59" s="5"/>
      <c r="G59" s="5"/>
      <c r="H59" s="5"/>
      <c r="I59" s="5"/>
      <c r="J59" s="5"/>
      <c r="K59" s="5"/>
      <c r="L59" s="501" t="str">
        <f>"Master Node Totals: ("&amp;'Data Source'!D26&amp;" vCPUs | "&amp;'Data Source'!E26&amp;" Mem | "&amp;'Data Source'!F26&amp;" Storage)"&amp;CHAR(10)&amp;" Each Master Node: vCPUs="&amp;'Data Source'!B138&amp;", Mem="&amp;'Data Source'!C138&amp;", Storage="&amp;'Data Source'!D138</f>
        <v>Master Node Totals: (12 vCPUs | 48 Mem | 360 Storage)
 Each Master Node: vCPUs=4, Mem=16, Storage=120</v>
      </c>
      <c r="M59" s="502"/>
      <c r="N59" s="67">
        <f>IF(F6="Y",0,IF(F5="Y",3,1))</f>
        <v>3</v>
      </c>
      <c r="O59" s="466"/>
      <c r="P59" s="467"/>
      <c r="Q59" s="468"/>
      <c r="R59" s="5"/>
      <c r="S59" s="5"/>
      <c r="T59" s="5"/>
      <c r="U59" s="5"/>
      <c r="V59" s="5"/>
      <c r="W59" s="5"/>
      <c r="X59" s="5"/>
      <c r="Y59" s="5"/>
    </row>
    <row r="60" spans="1:25" ht="40" customHeight="1" x14ac:dyDescent="0.25">
      <c r="A60" s="5"/>
      <c r="B60" s="221">
        <f>B37*25</f>
        <v>200</v>
      </c>
      <c r="C60" s="5"/>
      <c r="D60" s="5"/>
      <c r="E60" s="5"/>
      <c r="F60" s="5"/>
      <c r="G60" s="5"/>
      <c r="H60" s="5"/>
      <c r="I60" s="5"/>
      <c r="J60" s="5"/>
      <c r="K60" s="5"/>
      <c r="L60" s="499" t="str">
        <f>"Totals: ("&amp;B32&amp;" vCPUs | "&amp;B33&amp;" Mem GiB | "&amp;B34&amp;" GPUs | "&amp;O76*N60&amp;" ES GiB)"&amp;CHAR(10)&amp;" Each Worker Node: vCPUs="&amp;O73&amp;", Mem="&amp;O74&amp;IF(B23="N","GiB, GPUs="&amp;O75,"")&amp;", ES ="&amp;O76</f>
        <v>Totals: (48.5 vCPUs | 99 Mem GiB | 0 GPUs | 1600 ES GiB)
 Each Worker Node: vCPUs=16 , Mem=64, ES =400</v>
      </c>
      <c r="M60" s="500"/>
      <c r="N60" s="65">
        <f>MAX(IF(OR(F5="N",F6="Y",F10="Y",F11="Y"),0,2),ROUNDUP(B32/O73,0),ROUNDUP(B33/O74,0),IF(O75=0,0,ROUNDUP(B34/O75,0)))</f>
        <v>4</v>
      </c>
      <c r="O60" s="90">
        <f>B32/O73</f>
        <v>3.03125</v>
      </c>
      <c r="P60" s="91">
        <f>B33/O74</f>
        <v>1.546875</v>
      </c>
      <c r="Q60" s="92">
        <f>IF(OR(B23="Y",O75=0),0,B34/O75)</f>
        <v>0</v>
      </c>
      <c r="R60" s="5"/>
      <c r="S60" s="448"/>
      <c r="T60" s="5"/>
      <c r="U60" s="5"/>
      <c r="V60" s="5"/>
      <c r="W60" s="5"/>
      <c r="X60" s="5"/>
      <c r="Y60" s="5"/>
    </row>
    <row r="61" spans="1:25" ht="38" customHeight="1" x14ac:dyDescent="0.25">
      <c r="A61" s="5"/>
      <c r="B61" s="221" t="s">
        <v>284</v>
      </c>
      <c r="C61" s="5"/>
      <c r="D61" s="5"/>
      <c r="E61" s="5"/>
      <c r="F61" s="5"/>
      <c r="G61" s="5"/>
      <c r="H61" s="5"/>
      <c r="I61" s="5"/>
      <c r="J61" s="5"/>
      <c r="K61" s="5"/>
      <c r="L61" s="497" t="str">
        <f>"Totals: ("&amp;B37&amp;" vCPUs | "&amp;B38&amp;" Mem GiB | "&amp;B39&amp;" GPUs | "&amp;O84*N61&amp;" ES GiB)"&amp;CHAR(10)&amp;" Each Worker Node:  vCPUs="&amp;O81&amp;", Memory="&amp;O82&amp;", GPUs="&amp;O83&amp;", ES="&amp;O84</f>
        <v>Totals: (8 vCPUs | 128 Mem GiB | 3 GPUs | 1200 ES GiB)
 Each Worker Node:  vCPUs=16, Memory=64, GPUs=1, ES=400</v>
      </c>
      <c r="M61" s="498"/>
      <c r="N61" s="97">
        <f>IF(B23="N","",MAX(ROUNDUP((M23)/O81,0),ROUNDUP((N23)/O82,0),IF(O83=0,0,ROUNDUP((Q55)/O83,0))))</f>
        <v>3</v>
      </c>
      <c r="O61" s="98">
        <f>IF(B23="Y",B37/O81,"")</f>
        <v>0.5</v>
      </c>
      <c r="P61" s="99">
        <f>IF(B23="Y",B38/O82,"")</f>
        <v>2</v>
      </c>
      <c r="Q61" s="100">
        <f>IF(AND(B23="Y",O83&gt;0),B39/O83,"")</f>
        <v>3</v>
      </c>
      <c r="R61" s="5"/>
      <c r="S61" s="5"/>
      <c r="T61" s="5"/>
      <c r="U61" s="5"/>
      <c r="V61" s="5"/>
      <c r="W61" s="5"/>
      <c r="X61" s="5"/>
      <c r="Y61" s="5"/>
    </row>
    <row r="62" spans="1:25" ht="38" customHeight="1" thickBot="1" x14ac:dyDescent="0.3">
      <c r="A62" s="5"/>
      <c r="B62" s="49">
        <f>25*B42</f>
        <v>450</v>
      </c>
      <c r="C62" s="5"/>
      <c r="D62" s="5"/>
      <c r="E62" s="5"/>
      <c r="F62" s="5"/>
      <c r="G62" s="5"/>
      <c r="H62" s="5"/>
      <c r="I62" s="5"/>
      <c r="J62" s="5"/>
      <c r="K62" s="5"/>
      <c r="L62" s="535" t="str">
        <f>"Totals: # DB Instances = "&amp;B44&amp;"  ("&amp;B42&amp;" vCPUs | "&amp;B43&amp;" Mem GiB | "&amp;O91*N62&amp;" ES GiB)"&amp;CHAR(10)&amp;" Each DB Server Node: vCPUs="&amp;O89&amp;", Memory="&amp;O90&amp;", ES="&amp;O91</f>
        <v>Totals: # DB Instances = 2  (18 vCPUs | 72 Mem GiB | 800 ES GiB)
 Each DB Server Node: vCPUs=16, Memory=64, ES=400</v>
      </c>
      <c r="M62" s="536"/>
      <c r="N62" s="101">
        <f>IF(B29="N","",MAX(ROUNDUP(B42/O89,0),ROUNDUP(B43/O90,0)))</f>
        <v>2</v>
      </c>
      <c r="O62" s="95">
        <f>IF(B29="Y",B42/O89,"")</f>
        <v>1.125</v>
      </c>
      <c r="P62" s="96">
        <f>IF(B29="Y",B43/O90,"")</f>
        <v>1.125</v>
      </c>
      <c r="Q62" s="102"/>
      <c r="R62" s="5"/>
      <c r="S62" s="5"/>
      <c r="T62" s="5"/>
      <c r="U62" s="5"/>
      <c r="V62" s="5"/>
      <c r="W62" s="5"/>
      <c r="X62" s="5"/>
      <c r="Y62" s="5"/>
    </row>
    <row r="63" spans="1:25" ht="38" customHeight="1" thickBo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45" t="s">
        <v>285</v>
      </c>
      <c r="M63" s="546"/>
      <c r="N63" s="66">
        <f>O55</f>
        <v>2100</v>
      </c>
      <c r="O63" s="469"/>
      <c r="P63" s="470"/>
      <c r="Q63" s="471"/>
      <c r="R63" s="5"/>
      <c r="S63" s="5"/>
      <c r="T63" s="5"/>
      <c r="U63" s="5"/>
      <c r="V63" s="5"/>
      <c r="W63" s="5"/>
      <c r="X63" s="5"/>
      <c r="Y63" s="5"/>
    </row>
    <row r="64" spans="1:25" ht="39" customHeight="1" thickBot="1" x14ac:dyDescent="0.3">
      <c r="A64" s="5"/>
      <c r="B64" s="666" t="s">
        <v>316</v>
      </c>
      <c r="C64" s="5"/>
      <c r="D64" s="5"/>
      <c r="E64" s="5"/>
      <c r="F64" s="5"/>
      <c r="G64" s="5"/>
      <c r="H64" s="5"/>
      <c r="I64" s="5"/>
      <c r="J64" s="5"/>
      <c r="K64" s="5"/>
      <c r="L64" s="545" t="s">
        <v>193</v>
      </c>
      <c r="M64" s="546"/>
      <c r="N64" s="93">
        <f>P55</f>
        <v>554</v>
      </c>
      <c r="O64" s="472"/>
      <c r="P64" s="473"/>
      <c r="Q64" s="474"/>
      <c r="R64" s="5"/>
      <c r="S64" s="5"/>
      <c r="T64" s="5"/>
      <c r="U64" s="5"/>
      <c r="V64" s="5"/>
      <c r="W64" s="5"/>
      <c r="X64" s="5"/>
      <c r="Y64" s="5"/>
    </row>
    <row r="65" spans="1:25" ht="15.75" customHeight="1" thickBot="1" x14ac:dyDescent="0.25">
      <c r="A65" s="5"/>
      <c r="B65" s="49" t="str">
        <f>IF(AND(F18="N",F19="N",F20="N",F21="N",F22="N",F23="N",F24="N",F25="N"),"Y","N")</f>
        <v>N</v>
      </c>
      <c r="C65" s="5"/>
      <c r="D65" s="5"/>
      <c r="E65" s="5"/>
      <c r="F65" s="5"/>
      <c r="G65" s="5"/>
      <c r="H65" s="5"/>
      <c r="I65" s="5"/>
      <c r="J65" s="5"/>
      <c r="K65" s="5"/>
      <c r="L65" s="539" t="str">
        <f>IF(COUNTIF(L18:L43,"*Beyond Large*")&gt;0,"Warning:  Sizing Contains Beyond Large.  Additional Sizing &amp; Workload Factors May Be Required.",IF(AND(N60-O60&gt;=1,N60-P60&gt;=1,N60-Q60&gt;=1,N61="",N62="",B65="N"),"Minimum Configuration for OpenShift Requires at Least 2 Work Nodes - Sizing Factors Should be Greater Than 1.",""))</f>
        <v/>
      </c>
      <c r="M65" s="540"/>
      <c r="N65" s="540"/>
      <c r="O65" s="540"/>
      <c r="P65" s="540"/>
      <c r="Q65" s="541"/>
      <c r="R65" s="5"/>
      <c r="S65" s="5"/>
      <c r="T65" s="5"/>
      <c r="U65" s="5"/>
      <c r="V65" s="5"/>
      <c r="W65" s="5"/>
      <c r="X65" s="5"/>
      <c r="Y65" s="5"/>
    </row>
    <row r="66" spans="1:25" ht="35" customHeight="1" thickBo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47" t="str">
        <f>IF(B29="N","",IF(B44&lt;N62,"Alert: Total DB instances are less than servers defined with isolation selected. Recommend increasing DB Worker Node vCPUs &amp;/or Memory.",""))</f>
        <v/>
      </c>
      <c r="M66" s="548"/>
      <c r="N66" s="548"/>
      <c r="O66" s="548"/>
      <c r="P66" s="548"/>
      <c r="Q66" s="549"/>
      <c r="R66" s="5"/>
      <c r="S66" s="5"/>
      <c r="T66" s="5"/>
      <c r="U66" s="5"/>
      <c r="V66" s="5"/>
      <c r="W66" s="5"/>
      <c r="X66" s="5"/>
      <c r="Y66" s="5"/>
    </row>
    <row r="67" spans="1:25" ht="16" customHeight="1" thickBo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39" t="str">
        <f>IF(F14="Y","NOTE: 20% Additional vCPUs &amp; Memory added for PRODUCTION worker node totals for resilency/availability.","")</f>
        <v/>
      </c>
      <c r="M67" s="540"/>
      <c r="N67" s="540"/>
      <c r="O67" s="540"/>
      <c r="P67" s="540"/>
      <c r="Q67" s="541"/>
      <c r="R67" s="5"/>
      <c r="S67" s="5"/>
      <c r="T67" s="5"/>
      <c r="U67" s="5"/>
      <c r="V67" s="5"/>
      <c r="W67" s="5"/>
      <c r="X67" s="5"/>
      <c r="Y67" s="5"/>
    </row>
    <row r="68" spans="1:25" x14ac:dyDescent="0.2">
      <c r="A68" s="5"/>
      <c r="B68" s="5"/>
      <c r="C68" s="5"/>
      <c r="D68" s="5"/>
      <c r="E68" s="5"/>
      <c r="F68" s="5"/>
      <c r="G68" s="5"/>
      <c r="H68" s="5"/>
      <c r="I68" s="5"/>
      <c r="J68" s="33"/>
      <c r="K68" s="33"/>
      <c r="L68" s="34"/>
      <c r="M68" s="34"/>
      <c r="N68" s="34"/>
      <c r="O68" s="34"/>
      <c r="P68" s="34"/>
      <c r="Q68" s="34"/>
      <c r="R68" s="34"/>
      <c r="S68" s="5"/>
      <c r="T68" s="5"/>
      <c r="U68" s="5"/>
      <c r="V68" s="5"/>
      <c r="W68" s="5"/>
      <c r="X68" s="5"/>
      <c r="Y68" s="5"/>
    </row>
    <row r="69" spans="1:25" ht="17" thickBo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262"/>
      <c r="L69" s="5"/>
      <c r="M69" s="5"/>
      <c r="N69" s="5"/>
      <c r="O69" s="5"/>
      <c r="P69" s="262"/>
      <c r="Q69" s="262"/>
      <c r="R69" s="5"/>
      <c r="S69" s="5"/>
      <c r="T69" s="5"/>
      <c r="U69" s="5"/>
      <c r="V69" s="5"/>
      <c r="W69" s="5"/>
      <c r="X69" s="5"/>
      <c r="Y69" s="5"/>
    </row>
    <row r="70" spans="1:25" ht="17" thickBo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262"/>
      <c r="L70" s="5"/>
      <c r="M70" s="542" t="str">
        <f>IF(B23="N","OpenShift Worker Node Configuration","OpenShift Worker Node Configuration (Non-MVI)")</f>
        <v>OpenShift Worker Node Configuration (Non-MVI)</v>
      </c>
      <c r="N70" s="543"/>
      <c r="O70" s="544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37" t="s">
        <v>187</v>
      </c>
      <c r="N71" s="538"/>
      <c r="O71" s="182">
        <v>1</v>
      </c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16" t="s">
        <v>186</v>
      </c>
      <c r="N72" s="517"/>
      <c r="O72" s="183">
        <v>16</v>
      </c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9" x14ac:dyDescent="0.2">
      <c r="A73" s="5"/>
      <c r="B73" s="5"/>
      <c r="C73" s="5"/>
      <c r="D73" s="5"/>
      <c r="E73" s="5"/>
      <c r="F73" s="5"/>
      <c r="G73" s="5"/>
      <c r="H73" s="5"/>
      <c r="I73" s="5"/>
      <c r="J73" s="262"/>
      <c r="K73" s="262"/>
      <c r="L73" s="5"/>
      <c r="M73" s="518" t="s">
        <v>196</v>
      </c>
      <c r="N73" s="519"/>
      <c r="O73" s="130" t="str">
        <f>O71*O72&amp;" "</f>
        <v xml:space="preserve">16 </v>
      </c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">
      <c r="A74" s="5"/>
      <c r="B74" s="5"/>
      <c r="C74" s="5"/>
      <c r="D74" s="5"/>
      <c r="E74" s="5"/>
      <c r="F74" s="5"/>
      <c r="G74" s="5"/>
      <c r="H74" s="5"/>
      <c r="I74" s="5"/>
      <c r="J74" s="262"/>
      <c r="K74" s="262"/>
      <c r="L74" s="5"/>
      <c r="M74" s="516" t="s">
        <v>176</v>
      </c>
      <c r="N74" s="517"/>
      <c r="O74" s="184">
        <v>64</v>
      </c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">
      <c r="A75" s="5"/>
      <c r="B75" s="5"/>
      <c r="C75" s="5"/>
      <c r="D75" s="5"/>
      <c r="E75" s="5"/>
      <c r="F75" s="5"/>
      <c r="G75" s="5"/>
      <c r="H75" s="5"/>
      <c r="I75" s="5"/>
      <c r="J75" s="262"/>
      <c r="K75" s="262"/>
      <c r="L75" s="5"/>
      <c r="M75" s="516" t="str">
        <f>IF(B23="N","GPUs","")</f>
        <v/>
      </c>
      <c r="N75" s="517"/>
      <c r="O75" s="183">
        <v>0</v>
      </c>
      <c r="P75" s="15" t="str">
        <f>IF(AND(O75=0,$B$23="N",F23="Y"),"&lt;===== Enter GPUs Per Server","")</f>
        <v/>
      </c>
      <c r="Q75" s="5"/>
      <c r="R75" s="5"/>
      <c r="S75" s="5"/>
      <c r="T75" s="5"/>
      <c r="U75" s="5"/>
      <c r="V75" s="262"/>
      <c r="W75" s="262"/>
      <c r="X75" s="262"/>
      <c r="Y75" s="5"/>
    </row>
    <row r="76" spans="1:25" ht="17" thickBot="1" x14ac:dyDescent="0.25">
      <c r="A76" s="5"/>
      <c r="B76" s="5"/>
      <c r="C76" s="5"/>
      <c r="D76" s="5"/>
      <c r="E76" s="5"/>
      <c r="F76" s="5"/>
      <c r="G76" s="5"/>
      <c r="H76" s="5"/>
      <c r="I76" s="5"/>
      <c r="J76" s="262"/>
      <c r="K76" s="262"/>
      <c r="L76" s="5"/>
      <c r="M76" s="508" t="s">
        <v>301</v>
      </c>
      <c r="N76" s="509"/>
      <c r="O76" s="181">
        <f>IF(O73*25&lt;300,300,O73*25)</f>
        <v>400</v>
      </c>
      <c r="P76" s="15"/>
      <c r="Q76" s="5"/>
      <c r="R76" s="5"/>
      <c r="S76" s="5"/>
      <c r="T76" s="5"/>
      <c r="U76" s="5"/>
      <c r="V76" s="262"/>
      <c r="W76" s="262"/>
      <c r="X76" s="262"/>
      <c r="Y76" s="5"/>
    </row>
    <row r="77" spans="1:25" x14ac:dyDescent="0.2">
      <c r="A77" s="5"/>
      <c r="B77" s="5"/>
      <c r="C77" s="5"/>
      <c r="D77" s="5"/>
      <c r="E77" s="5"/>
      <c r="F77" s="5"/>
      <c r="G77" s="5"/>
      <c r="H77" s="5"/>
      <c r="I77" s="5"/>
      <c r="J77" s="262"/>
      <c r="K77" s="262"/>
      <c r="L77" s="5"/>
      <c r="M77" s="5"/>
      <c r="N77" s="5"/>
      <c r="O77" s="5"/>
      <c r="P77" s="5"/>
      <c r="Q77" s="5"/>
      <c r="R77" s="5"/>
      <c r="S77" s="5"/>
      <c r="T77" s="5"/>
      <c r="U77" s="5"/>
      <c r="V77" s="262"/>
      <c r="W77" s="262"/>
      <c r="X77" s="262"/>
      <c r="Y77" s="5"/>
    </row>
    <row r="78" spans="1:25" x14ac:dyDescent="0.2">
      <c r="A78" s="5"/>
      <c r="B78" s="5"/>
      <c r="C78" s="5"/>
      <c r="D78" s="5"/>
      <c r="E78" s="5"/>
      <c r="F78" s="5"/>
      <c r="G78" s="5"/>
      <c r="H78" s="5"/>
      <c r="I78" s="5"/>
      <c r="J78" s="262"/>
      <c r="K78" s="262"/>
      <c r="L78" s="5"/>
      <c r="M78" s="5" t="str">
        <f>IF(B23="Y","                    MVI Worker Node Configuration","")</f>
        <v xml:space="preserve">                    MVI Worker Node Configuration</v>
      </c>
      <c r="N78" s="5"/>
      <c r="O78" s="5"/>
      <c r="P78" s="5"/>
      <c r="Q78" s="5"/>
      <c r="R78" s="5"/>
      <c r="S78" s="5"/>
      <c r="T78" s="5"/>
      <c r="U78" s="5"/>
      <c r="V78" s="262"/>
      <c r="W78" s="262"/>
      <c r="X78" s="262"/>
      <c r="Y78" s="5"/>
    </row>
    <row r="79" spans="1:25" x14ac:dyDescent="0.2">
      <c r="A79" s="5"/>
      <c r="B79" s="5"/>
      <c r="C79" s="5"/>
      <c r="D79" s="5"/>
      <c r="E79" s="5"/>
      <c r="F79" s="5"/>
      <c r="G79" s="5"/>
      <c r="H79" s="5"/>
      <c r="I79" s="5"/>
      <c r="J79" s="262"/>
      <c r="K79" s="262"/>
      <c r="L79" s="5"/>
      <c r="M79" s="478" t="str">
        <f>IF(B23="Y","CPU Socket Count","")</f>
        <v>CPU Socket Count</v>
      </c>
      <c r="N79" s="478"/>
      <c r="O79" s="477">
        <v>1</v>
      </c>
      <c r="P79" s="5"/>
      <c r="Q79" s="5"/>
      <c r="R79" s="5"/>
      <c r="S79" s="5"/>
      <c r="T79" s="5"/>
      <c r="U79" s="5"/>
      <c r="V79" s="262"/>
      <c r="W79" s="262"/>
      <c r="X79" s="262"/>
      <c r="Y79" s="5"/>
    </row>
    <row r="80" spans="1:25" x14ac:dyDescent="0.2">
      <c r="A80" s="5"/>
      <c r="B80" s="5"/>
      <c r="C80" s="5"/>
      <c r="D80" s="5"/>
      <c r="E80" s="5"/>
      <c r="F80" s="5"/>
      <c r="G80" s="5"/>
      <c r="H80" s="5"/>
      <c r="I80" s="5"/>
      <c r="J80" s="262"/>
      <c r="K80" s="262"/>
      <c r="L80" s="5"/>
      <c r="M80" s="478" t="str">
        <f>IF(B23="Y","vCPUs per Socket","")</f>
        <v>vCPUs per Socket</v>
      </c>
      <c r="N80" s="478"/>
      <c r="O80" s="477">
        <v>16</v>
      </c>
      <c r="P80" s="5"/>
      <c r="Q80" s="5"/>
      <c r="R80" s="5"/>
      <c r="S80" s="5"/>
      <c r="T80" s="5"/>
      <c r="U80" s="5"/>
      <c r="V80" s="262"/>
      <c r="W80" s="262"/>
      <c r="X80" s="262"/>
      <c r="Y80" s="5"/>
    </row>
    <row r="81" spans="1:25" x14ac:dyDescent="0.2">
      <c r="A81" s="5"/>
      <c r="B81" s="5"/>
      <c r="C81" s="5"/>
      <c r="D81" s="5"/>
      <c r="E81" s="5"/>
      <c r="F81" s="5"/>
      <c r="G81" s="5"/>
      <c r="H81" s="5"/>
      <c r="I81" s="5"/>
      <c r="J81" s="262"/>
      <c r="K81" s="262"/>
      <c r="L81" s="5"/>
      <c r="M81" s="478" t="str">
        <f>IF(B23="Y","vCPUs","")</f>
        <v>vCPUs</v>
      </c>
      <c r="N81" s="478"/>
      <c r="O81" s="16">
        <f>O79*O80</f>
        <v>16</v>
      </c>
      <c r="P81" s="5"/>
      <c r="Q81" s="5"/>
      <c r="R81" s="5"/>
      <c r="S81" s="5"/>
      <c r="T81" s="5"/>
      <c r="U81" s="5"/>
      <c r="V81" s="262"/>
      <c r="W81" s="262"/>
      <c r="X81" s="262"/>
      <c r="Y81" s="5"/>
    </row>
    <row r="82" spans="1:25" x14ac:dyDescent="0.2">
      <c r="A82" s="5"/>
      <c r="B82" s="5"/>
      <c r="C82" s="5"/>
      <c r="D82" s="5"/>
      <c r="E82" s="5"/>
      <c r="F82" s="5"/>
      <c r="G82" s="5"/>
      <c r="H82" s="5"/>
      <c r="I82" s="5"/>
      <c r="J82" s="262"/>
      <c r="K82" s="262"/>
      <c r="L82" s="5"/>
      <c r="M82" s="478" t="str">
        <f>IF(B23="Y","Memory (GiB)","")</f>
        <v>Memory (GiB)</v>
      </c>
      <c r="N82" s="478"/>
      <c r="O82" s="477">
        <v>64</v>
      </c>
      <c r="P82" s="5"/>
      <c r="Q82" s="5"/>
      <c r="R82" s="5"/>
      <c r="S82" s="5"/>
      <c r="T82" s="5"/>
      <c r="U82" s="5"/>
      <c r="V82" s="262"/>
      <c r="W82" s="262"/>
      <c r="X82" s="262"/>
      <c r="Y82" s="5"/>
    </row>
    <row r="83" spans="1:25" x14ac:dyDescent="0.2">
      <c r="A83" s="5"/>
      <c r="B83" s="5"/>
      <c r="C83" s="5"/>
      <c r="D83" s="5"/>
      <c r="E83" s="5"/>
      <c r="F83" s="5"/>
      <c r="G83" s="5"/>
      <c r="H83" s="5"/>
      <c r="I83" s="5"/>
      <c r="J83" s="262"/>
      <c r="K83" s="262"/>
      <c r="L83" s="5"/>
      <c r="M83" s="478" t="str">
        <f>IF(B23="Y","GPUs","")</f>
        <v>GPUs</v>
      </c>
      <c r="N83" s="478"/>
      <c r="O83" s="477">
        <v>1</v>
      </c>
      <c r="P83" s="5"/>
      <c r="Q83" s="5"/>
      <c r="R83" s="5"/>
      <c r="S83" s="5"/>
      <c r="T83" s="5"/>
      <c r="U83" s="5"/>
      <c r="V83" s="262"/>
      <c r="W83" s="262"/>
      <c r="X83" s="262"/>
      <c r="Y83" s="5"/>
    </row>
    <row r="84" spans="1:25" x14ac:dyDescent="0.2">
      <c r="A84" s="5"/>
      <c r="B84" s="5"/>
      <c r="C84" s="5"/>
      <c r="D84" s="5"/>
      <c r="E84" s="5"/>
      <c r="F84" s="5"/>
      <c r="G84" s="5"/>
      <c r="H84" s="5"/>
      <c r="I84" s="5"/>
      <c r="J84" s="262"/>
      <c r="K84" s="262"/>
      <c r="L84" s="5"/>
      <c r="M84" s="478" t="str">
        <f>IF(B23="Y","Ephemeral Storage (GiB) / Node","")</f>
        <v>Ephemeral Storage (GiB) / Node</v>
      </c>
      <c r="N84" s="478"/>
      <c r="O84" s="16">
        <f>IF(O81*25&lt;300,300,O81*25)</f>
        <v>400</v>
      </c>
      <c r="P84" s="5"/>
      <c r="Q84" s="5"/>
      <c r="R84" s="5"/>
      <c r="S84" s="5"/>
      <c r="T84" s="5"/>
      <c r="U84" s="5"/>
      <c r="V84" s="262"/>
      <c r="W84" s="262"/>
      <c r="X84" s="262"/>
      <c r="Y84" s="5"/>
    </row>
    <row r="85" spans="1:25" x14ac:dyDescent="0.2">
      <c r="A85" s="5"/>
      <c r="B85" s="5"/>
      <c r="C85" s="5"/>
      <c r="D85" s="5"/>
      <c r="E85" s="5"/>
      <c r="F85" s="5"/>
      <c r="G85" s="5"/>
      <c r="H85" s="5"/>
      <c r="I85" s="5"/>
      <c r="J85" s="262"/>
      <c r="K85" s="262"/>
      <c r="L85" s="5"/>
      <c r="M85" s="5"/>
      <c r="N85" s="5"/>
      <c r="O85" s="5"/>
      <c r="P85" s="5"/>
      <c r="Q85" s="5"/>
      <c r="R85" s="5"/>
      <c r="S85" s="5"/>
      <c r="T85" s="5"/>
      <c r="U85" s="5"/>
      <c r="V85" s="262"/>
      <c r="W85" s="262"/>
      <c r="X85" s="262"/>
      <c r="Y85" s="5"/>
    </row>
    <row r="86" spans="1:25" x14ac:dyDescent="0.2">
      <c r="A86" s="5"/>
      <c r="B86" s="5"/>
      <c r="C86" s="5"/>
      <c r="D86" s="5"/>
      <c r="E86" s="5"/>
      <c r="F86" s="5"/>
      <c r="G86" s="5"/>
      <c r="H86" s="5"/>
      <c r="I86" s="5"/>
      <c r="J86" s="262"/>
      <c r="K86" s="262"/>
      <c r="L86" s="5"/>
      <c r="M86" s="5" t="str">
        <f>IF(B29="Y","                      DB Worker Node Configuration","")</f>
        <v xml:space="preserve">                      DB Worker Node Configuration</v>
      </c>
      <c r="N86" s="5"/>
      <c r="O86" s="5"/>
      <c r="P86" s="5"/>
      <c r="Q86" s="5"/>
      <c r="R86" s="5"/>
      <c r="S86" s="5"/>
      <c r="T86" s="5"/>
      <c r="U86" s="5"/>
      <c r="V86" s="262"/>
      <c r="W86" s="262"/>
      <c r="X86" s="262"/>
      <c r="Y86" s="5"/>
    </row>
    <row r="87" spans="1:25" x14ac:dyDescent="0.2">
      <c r="A87" s="5"/>
      <c r="B87" s="5"/>
      <c r="C87" s="5"/>
      <c r="D87" s="5"/>
      <c r="E87" s="5"/>
      <c r="F87" s="5"/>
      <c r="G87" s="5"/>
      <c r="H87" s="5"/>
      <c r="I87" s="5"/>
      <c r="J87" s="262"/>
      <c r="K87" s="262"/>
      <c r="L87" s="5"/>
      <c r="M87" s="478" t="str">
        <f>IF(B29="Y","CPU Socket Count","")</f>
        <v>CPU Socket Count</v>
      </c>
      <c r="N87" s="478"/>
      <c r="O87" s="477">
        <v>1</v>
      </c>
      <c r="P87" s="5"/>
      <c r="Q87" s="5"/>
      <c r="R87" s="5"/>
      <c r="S87" s="5"/>
      <c r="T87" s="5"/>
      <c r="U87" s="5"/>
      <c r="V87" s="262"/>
      <c r="W87" s="262"/>
      <c r="X87" s="262"/>
      <c r="Y87" s="5"/>
    </row>
    <row r="88" spans="1:25" x14ac:dyDescent="0.2">
      <c r="A88" s="5"/>
      <c r="B88" s="5"/>
      <c r="C88" s="5"/>
      <c r="D88" s="5"/>
      <c r="E88" s="5"/>
      <c r="F88" s="5"/>
      <c r="G88" s="5"/>
      <c r="H88" s="5"/>
      <c r="I88" s="5"/>
      <c r="J88" s="262"/>
      <c r="K88" s="262"/>
      <c r="L88" s="5"/>
      <c r="M88" s="478" t="str">
        <f>IF(B29="Y","vCPUs per Socket","")</f>
        <v>vCPUs per Socket</v>
      </c>
      <c r="N88" s="478"/>
      <c r="O88" s="477">
        <v>16</v>
      </c>
      <c r="P88" s="5"/>
      <c r="Q88" s="5"/>
      <c r="R88" s="5"/>
      <c r="S88" s="5"/>
      <c r="T88" s="5"/>
      <c r="U88" s="5"/>
      <c r="V88" s="262"/>
      <c r="W88" s="262"/>
      <c r="X88" s="262"/>
      <c r="Y88" s="5"/>
    </row>
    <row r="89" spans="1:25" x14ac:dyDescent="0.2">
      <c r="A89" s="5"/>
      <c r="B89" s="5"/>
      <c r="C89" s="5"/>
      <c r="D89" s="5"/>
      <c r="E89" s="5"/>
      <c r="F89" s="5"/>
      <c r="G89" s="5"/>
      <c r="H89" s="5"/>
      <c r="I89" s="5"/>
      <c r="J89" s="262"/>
      <c r="K89" s="262"/>
      <c r="L89" s="5"/>
      <c r="M89" s="478" t="str">
        <f>IF(B29="Y","vCPUs","")</f>
        <v>vCPUs</v>
      </c>
      <c r="N89" s="478"/>
      <c r="O89" s="16">
        <f>O87*O88</f>
        <v>16</v>
      </c>
      <c r="P89" s="5"/>
      <c r="Q89" s="5"/>
      <c r="R89" s="5"/>
      <c r="S89" s="5"/>
      <c r="T89" s="5"/>
      <c r="U89" s="5"/>
      <c r="V89" s="262"/>
      <c r="W89" s="262"/>
      <c r="X89" s="262"/>
      <c r="Y89" s="5"/>
    </row>
    <row r="90" spans="1:25" x14ac:dyDescent="0.2">
      <c r="A90" s="5"/>
      <c r="B90" s="5"/>
      <c r="C90" s="5"/>
      <c r="D90" s="5"/>
      <c r="E90" s="5"/>
      <c r="F90" s="5"/>
      <c r="G90" s="5"/>
      <c r="H90" s="5"/>
      <c r="I90" s="5"/>
      <c r="J90" s="262"/>
      <c r="K90" s="262"/>
      <c r="L90" s="5"/>
      <c r="M90" s="478" t="str">
        <f>IF(B29="Y","Memory (GiB)","")</f>
        <v>Memory (GiB)</v>
      </c>
      <c r="N90" s="478"/>
      <c r="O90" s="477">
        <v>64</v>
      </c>
      <c r="P90" s="5"/>
      <c r="Q90" s="5"/>
      <c r="R90" s="5"/>
      <c r="S90" s="5"/>
      <c r="T90" s="5"/>
      <c r="U90" s="5"/>
      <c r="V90" s="262"/>
      <c r="W90" s="262"/>
      <c r="X90" s="262"/>
      <c r="Y90" s="5"/>
    </row>
    <row r="91" spans="1:25" x14ac:dyDescent="0.2">
      <c r="A91" s="5"/>
      <c r="B91" s="5"/>
      <c r="C91" s="5"/>
      <c r="D91" s="5"/>
      <c r="E91" s="5"/>
      <c r="F91" s="5"/>
      <c r="G91" s="5"/>
      <c r="H91" s="5"/>
      <c r="I91" s="5"/>
      <c r="J91" s="262"/>
      <c r="K91" s="262"/>
      <c r="L91" s="5"/>
      <c r="M91" s="478" t="str">
        <f>IF(B29="Y","Ephemeral Storage (GiB) / Node","")</f>
        <v>Ephemeral Storage (GiB) / Node</v>
      </c>
      <c r="N91" s="478"/>
      <c r="O91" s="16">
        <f>IF(O89*25&lt;300,300,O89*25)</f>
        <v>400</v>
      </c>
      <c r="P91" s="5"/>
      <c r="Q91" s="5"/>
      <c r="R91" s="5"/>
      <c r="S91" s="5"/>
      <c r="T91" s="5"/>
      <c r="U91" s="5"/>
      <c r="V91" s="262"/>
      <c r="W91" s="262"/>
      <c r="X91" s="262"/>
      <c r="Y91" s="5"/>
    </row>
    <row r="92" spans="1:25" x14ac:dyDescent="0.2">
      <c r="A92" s="5"/>
      <c r="B92" s="5"/>
      <c r="C92" s="5"/>
      <c r="D92" s="5"/>
      <c r="E92" s="5"/>
      <c r="F92" s="5"/>
      <c r="G92" s="5"/>
      <c r="H92" s="5"/>
      <c r="I92" s="5"/>
      <c r="J92" s="262"/>
      <c r="K92" s="262"/>
      <c r="L92" s="5"/>
      <c r="M92" s="94"/>
      <c r="N92" s="94"/>
      <c r="O92" s="475"/>
      <c r="P92" s="5"/>
      <c r="Q92" s="5"/>
      <c r="R92" s="5"/>
      <c r="S92" s="5"/>
      <c r="T92" s="5"/>
      <c r="U92" s="5"/>
      <c r="V92" s="262"/>
      <c r="W92" s="262"/>
      <c r="X92" s="262"/>
      <c r="Y92" s="5"/>
    </row>
    <row r="93" spans="1:25" x14ac:dyDescent="0.2">
      <c r="A93" s="5"/>
      <c r="B93" s="5"/>
      <c r="C93" s="5"/>
      <c r="D93" s="5"/>
      <c r="E93" s="5"/>
      <c r="F93" s="5"/>
      <c r="G93" s="5"/>
      <c r="H93" s="5"/>
      <c r="I93" s="5"/>
      <c r="J93" s="262"/>
      <c r="K93" s="262"/>
      <c r="L93" s="5"/>
      <c r="M93" s="5"/>
      <c r="N93" s="5"/>
      <c r="O93" s="5"/>
      <c r="P93" s="5"/>
      <c r="Q93" s="5"/>
      <c r="R93" s="5"/>
      <c r="S93" s="5"/>
      <c r="T93" s="5"/>
      <c r="U93" s="5"/>
      <c r="V93" s="262"/>
      <c r="W93" s="262"/>
      <c r="X93" s="262"/>
      <c r="Y93" s="5"/>
    </row>
    <row r="94" spans="1:25" x14ac:dyDescent="0.2">
      <c r="A94" s="5"/>
      <c r="B94" s="5"/>
      <c r="C94" s="5"/>
      <c r="D94" s="5"/>
      <c r="E94" s="5"/>
      <c r="F94" s="5"/>
      <c r="G94" s="5"/>
      <c r="H94" s="5"/>
      <c r="I94" s="5"/>
      <c r="J94" s="262"/>
      <c r="K94" s="262"/>
      <c r="L94" s="5"/>
      <c r="M94" s="5"/>
      <c r="N94" s="5"/>
      <c r="O94" s="5"/>
      <c r="P94" s="5"/>
      <c r="Q94" s="5"/>
      <c r="R94" s="5"/>
      <c r="S94" s="5"/>
      <c r="T94" s="5"/>
      <c r="U94" s="5"/>
      <c r="V94" s="262"/>
      <c r="W94" s="262"/>
      <c r="X94" s="262"/>
      <c r="Y94" s="5"/>
    </row>
    <row r="95" spans="1:25" x14ac:dyDescent="0.2">
      <c r="A95" s="5"/>
      <c r="B95" s="5"/>
      <c r="C95" s="5"/>
      <c r="D95" s="5"/>
      <c r="E95" s="5"/>
      <c r="F95" s="5"/>
      <c r="G95" s="5"/>
      <c r="H95" s="5"/>
      <c r="I95" s="5"/>
      <c r="J95" s="262"/>
      <c r="K95" s="262"/>
      <c r="L95" s="5"/>
      <c r="M95" s="5"/>
      <c r="N95" s="5"/>
      <c r="O95" s="5"/>
      <c r="P95" s="5"/>
      <c r="Q95" s="5"/>
      <c r="R95" s="5"/>
      <c r="S95" s="5"/>
      <c r="T95" s="5"/>
      <c r="U95" s="5"/>
      <c r="V95" s="262"/>
      <c r="W95" s="262"/>
      <c r="X95" s="262"/>
      <c r="Y95" s="5"/>
    </row>
  </sheetData>
  <sheetProtection algorithmName="SHA-512" hashValue="75SYYJyTLky8QULy5DnufWvDnmPjkLwQl0r74+1ccT2mJDs2g6WLhYaVA6j4sVHBxbBxYNxfU46Z1Ykp6wEziQ==" saltValue="dFuUo0GSgNjew/UMrApH7g==" spinCount="100000" sheet="1" objects="1" scenarios="1"/>
  <dataConsolidate/>
  <mergeCells count="59">
    <mergeCell ref="M5:N9"/>
    <mergeCell ref="G18:G19"/>
    <mergeCell ref="H18:H19"/>
    <mergeCell ref="H30:J30"/>
    <mergeCell ref="C7:E7"/>
    <mergeCell ref="I16:J16"/>
    <mergeCell ref="G16:H16"/>
    <mergeCell ref="J5:L9"/>
    <mergeCell ref="G30:G31"/>
    <mergeCell ref="G29:J29"/>
    <mergeCell ref="C9:E9"/>
    <mergeCell ref="O5:P9"/>
    <mergeCell ref="C8:E8"/>
    <mergeCell ref="C13:E13"/>
    <mergeCell ref="L62:M62"/>
    <mergeCell ref="M71:N71"/>
    <mergeCell ref="L65:Q65"/>
    <mergeCell ref="M70:O70"/>
    <mergeCell ref="L63:M63"/>
    <mergeCell ref="L64:M64"/>
    <mergeCell ref="L66:Q66"/>
    <mergeCell ref="L67:Q67"/>
    <mergeCell ref="C10:E10"/>
    <mergeCell ref="C11:E11"/>
    <mergeCell ref="H5:I9"/>
    <mergeCell ref="D18:D25"/>
    <mergeCell ref="C12:E12"/>
    <mergeCell ref="L54:L55"/>
    <mergeCell ref="M76:N76"/>
    <mergeCell ref="M84:N84"/>
    <mergeCell ref="E2:L2"/>
    <mergeCell ref="E3:L3"/>
    <mergeCell ref="M74:N74"/>
    <mergeCell ref="M75:N75"/>
    <mergeCell ref="M82:N82"/>
    <mergeCell ref="M72:N72"/>
    <mergeCell ref="M83:N83"/>
    <mergeCell ref="M79:N79"/>
    <mergeCell ref="M80:N80"/>
    <mergeCell ref="M81:N81"/>
    <mergeCell ref="M73:N73"/>
    <mergeCell ref="C5:E5"/>
    <mergeCell ref="C6:E6"/>
    <mergeCell ref="M91:N91"/>
    <mergeCell ref="G33:I33"/>
    <mergeCell ref="C14:E14"/>
    <mergeCell ref="H12:J12"/>
    <mergeCell ref="L46:Q46"/>
    <mergeCell ref="L49:Q49"/>
    <mergeCell ref="L58:M58"/>
    <mergeCell ref="L53:Q53"/>
    <mergeCell ref="M90:N90"/>
    <mergeCell ref="M89:N89"/>
    <mergeCell ref="M88:N88"/>
    <mergeCell ref="M87:N87"/>
    <mergeCell ref="L61:M61"/>
    <mergeCell ref="L60:M60"/>
    <mergeCell ref="L59:M59"/>
    <mergeCell ref="L57:Q57"/>
  </mergeCells>
  <conditionalFormatting sqref="G30:G32">
    <cfRule type="expression" dxfId="111" priority="26">
      <formula>$F$18="Y"</formula>
    </cfRule>
  </conditionalFormatting>
  <conditionalFormatting sqref="G33">
    <cfRule type="expression" dxfId="110" priority="20">
      <formula>$F$18="Y"</formula>
    </cfRule>
  </conditionalFormatting>
  <conditionalFormatting sqref="G34">
    <cfRule type="expression" dxfId="109" priority="21">
      <formula>$F$18="Y"</formula>
    </cfRule>
  </conditionalFormatting>
  <conditionalFormatting sqref="G35">
    <cfRule type="expression" dxfId="108" priority="22">
      <formula>$F$18="Y"</formula>
    </cfRule>
  </conditionalFormatting>
  <conditionalFormatting sqref="G29:J29">
    <cfRule type="expression" dxfId="107" priority="25">
      <formula>$F$18="Y"</formula>
    </cfRule>
  </conditionalFormatting>
  <conditionalFormatting sqref="G32:J32">
    <cfRule type="expression" dxfId="106" priority="33">
      <formula>$F$18="Y"</formula>
    </cfRule>
  </conditionalFormatting>
  <conditionalFormatting sqref="H20 J20">
    <cfRule type="expression" dxfId="105" priority="32">
      <formula>$F$20="N"</formula>
    </cfRule>
  </conditionalFormatting>
  <conditionalFormatting sqref="H21">
    <cfRule type="expression" dxfId="104" priority="31">
      <formula>$F$21="N"</formula>
    </cfRule>
  </conditionalFormatting>
  <conditionalFormatting sqref="H22">
    <cfRule type="expression" dxfId="103" priority="30">
      <formula>OR($F$22="N",$F$18="Y")</formula>
    </cfRule>
  </conditionalFormatting>
  <conditionalFormatting sqref="H23">
    <cfRule type="expression" dxfId="102" priority="29">
      <formula>$F$23="N"</formula>
    </cfRule>
  </conditionalFormatting>
  <conditionalFormatting sqref="H24">
    <cfRule type="expression" dxfId="101" priority="28">
      <formula>$F$24="N"</formula>
    </cfRule>
  </conditionalFormatting>
  <conditionalFormatting sqref="H25">
    <cfRule type="expression" dxfId="100" priority="27">
      <formula>$F$25="N"</formula>
    </cfRule>
  </conditionalFormatting>
  <conditionalFormatting sqref="H34:I35">
    <cfRule type="expression" dxfId="99" priority="1">
      <formula>$F$18="Y"</formula>
    </cfRule>
  </conditionalFormatting>
  <conditionalFormatting sqref="H30:J30">
    <cfRule type="expression" dxfId="98" priority="35">
      <formula>$F$18="Y"</formula>
    </cfRule>
  </conditionalFormatting>
  <conditionalFormatting sqref="H31:K32">
    <cfRule type="expression" dxfId="97" priority="34">
      <formula>$F$18="Y"</formula>
    </cfRule>
  </conditionalFormatting>
  <conditionalFormatting sqref="I19:J19">
    <cfRule type="expression" dxfId="96" priority="65">
      <formula>OR($F$18="Y",$F$19="N")</formula>
    </cfRule>
  </conditionalFormatting>
  <conditionalFormatting sqref="J18 H18:H19">
    <cfRule type="expression" dxfId="95" priority="64">
      <formula>$F$18="N"</formula>
    </cfRule>
  </conditionalFormatting>
  <conditionalFormatting sqref="J22">
    <cfRule type="expression" dxfId="94" priority="24">
      <formula>$F$22="N"</formula>
    </cfRule>
  </conditionalFormatting>
  <conditionalFormatting sqref="J33">
    <cfRule type="expression" dxfId="93" priority="2">
      <formula>$F$18="Y"</formula>
    </cfRule>
  </conditionalFormatting>
  <conditionalFormatting sqref="J34">
    <cfRule type="expression" dxfId="92" priority="3">
      <formula>$F$18="Y"</formula>
    </cfRule>
  </conditionalFormatting>
  <conditionalFormatting sqref="L21">
    <cfRule type="expression" dxfId="91" priority="198">
      <formula>AND($F$21="Y",OR($F$19="N",$F$20="N"))</formula>
    </cfRule>
  </conditionalFormatting>
  <conditionalFormatting sqref="L61">
    <cfRule type="expression" dxfId="90" priority="287">
      <formula>$B$23="Y"</formula>
    </cfRule>
  </conditionalFormatting>
  <conditionalFormatting sqref="L62:M62">
    <cfRule type="expression" dxfId="89" priority="38">
      <formula>$B$29="Y"</formula>
    </cfRule>
  </conditionalFormatting>
  <conditionalFormatting sqref="L18:O18">
    <cfRule type="expression" dxfId="88" priority="105">
      <formula>$F$18="N"</formula>
    </cfRule>
  </conditionalFormatting>
  <conditionalFormatting sqref="L19:O19">
    <cfRule type="expression" dxfId="87" priority="104">
      <formula>$F$19="N"</formula>
    </cfRule>
  </conditionalFormatting>
  <conditionalFormatting sqref="L20:O20">
    <cfRule type="expression" dxfId="86" priority="103">
      <formula>$F$20="N"</formula>
    </cfRule>
  </conditionalFormatting>
  <conditionalFormatting sqref="L21:O21">
    <cfRule type="expression" dxfId="85" priority="102">
      <formula>$F$21="N"</formula>
    </cfRule>
  </conditionalFormatting>
  <conditionalFormatting sqref="L22:O22">
    <cfRule type="expression" dxfId="84" priority="101">
      <formula>$F$22="N"</formula>
    </cfRule>
  </conditionalFormatting>
  <conditionalFormatting sqref="L24:O24">
    <cfRule type="expression" dxfId="83" priority="99">
      <formula>$F$24="N"</formula>
    </cfRule>
  </conditionalFormatting>
  <conditionalFormatting sqref="L25:O25">
    <cfRule type="expression" dxfId="82" priority="98">
      <formula>$F$25="N"</formula>
    </cfRule>
  </conditionalFormatting>
  <conditionalFormatting sqref="L23:P23">
    <cfRule type="expression" dxfId="81" priority="100">
      <formula>$F$23="N"</formula>
    </cfRule>
  </conditionalFormatting>
  <conditionalFormatting sqref="L29:P29">
    <cfRule type="expression" dxfId="80" priority="82">
      <formula>AND($F$18="N",$F$19="N",$F$22="N")</formula>
    </cfRule>
  </conditionalFormatting>
  <conditionalFormatting sqref="L30:P30">
    <cfRule type="expression" dxfId="79" priority="81">
      <formula>$F$20="N"</formula>
    </cfRule>
  </conditionalFormatting>
  <conditionalFormatting sqref="L31:P32">
    <cfRule type="expression" dxfId="78" priority="80">
      <formula>$F$18="N"</formula>
    </cfRule>
  </conditionalFormatting>
  <conditionalFormatting sqref="L33:P34">
    <cfRule type="expression" dxfId="77" priority="70">
      <formula>$F$21="N"</formula>
    </cfRule>
    <cfRule type="expression" dxfId="76" priority="78">
      <formula>$M$21="Error"</formula>
    </cfRule>
  </conditionalFormatting>
  <conditionalFormatting sqref="L35:P35">
    <cfRule type="expression" dxfId="75" priority="76">
      <formula>$F$20="N"</formula>
    </cfRule>
  </conditionalFormatting>
  <conditionalFormatting sqref="L36:P36">
    <cfRule type="expression" dxfId="74" priority="73">
      <formula>$F$24="N"</formula>
    </cfRule>
  </conditionalFormatting>
  <conditionalFormatting sqref="L40:P43">
    <cfRule type="expression" dxfId="73" priority="60">
      <formula>COUNTIF($F$18:$F$25,"Y")&lt;1</formula>
    </cfRule>
  </conditionalFormatting>
  <conditionalFormatting sqref="L43:P43">
    <cfRule type="expression" dxfId="72" priority="59">
      <formula>$B$26="N"</formula>
    </cfRule>
  </conditionalFormatting>
  <conditionalFormatting sqref="M21">
    <cfRule type="expression" dxfId="71" priority="111">
      <formula>$M$21="Error"</formula>
    </cfRule>
  </conditionalFormatting>
  <conditionalFormatting sqref="M81 O81">
    <cfRule type="expression" dxfId="70" priority="280">
      <formula>$B$23="Y"</formula>
    </cfRule>
  </conditionalFormatting>
  <conditionalFormatting sqref="M84">
    <cfRule type="expression" dxfId="69" priority="5">
      <formula>$B$23="Y"</formula>
    </cfRule>
  </conditionalFormatting>
  <conditionalFormatting sqref="M89">
    <cfRule type="expression" dxfId="68" priority="49">
      <formula>$B$29="Y"</formula>
    </cfRule>
  </conditionalFormatting>
  <conditionalFormatting sqref="M91">
    <cfRule type="expression" dxfId="67" priority="9">
      <formula>$B$29="Y"</formula>
    </cfRule>
  </conditionalFormatting>
  <conditionalFormatting sqref="M14:N14">
    <cfRule type="expression" dxfId="66" priority="19">
      <formula>$F$14="Y"</formula>
    </cfRule>
  </conditionalFormatting>
  <conditionalFormatting sqref="M79:N84">
    <cfRule type="expression" dxfId="65" priority="6">
      <formula>$B$23="Y"</formula>
    </cfRule>
  </conditionalFormatting>
  <conditionalFormatting sqref="M87:N91">
    <cfRule type="expression" dxfId="64" priority="8">
      <formula>$B$29="Y"</formula>
    </cfRule>
  </conditionalFormatting>
  <conditionalFormatting sqref="M20:O20 P33:P36">
    <cfRule type="expression" dxfId="63" priority="184">
      <formula>$M$20="Error"</formula>
    </cfRule>
  </conditionalFormatting>
  <conditionalFormatting sqref="M22:O22">
    <cfRule type="expression" dxfId="62" priority="180">
      <formula>$M$22="Error"</formula>
    </cfRule>
  </conditionalFormatting>
  <conditionalFormatting sqref="M75:O75">
    <cfRule type="expression" dxfId="61" priority="289">
      <formula>$B$23="Y"</formula>
    </cfRule>
  </conditionalFormatting>
  <conditionalFormatting sqref="M78:O78">
    <cfRule type="expression" dxfId="60" priority="279">
      <formula>$B$23="Y"</formula>
    </cfRule>
  </conditionalFormatting>
  <conditionalFormatting sqref="M86:O86">
    <cfRule type="expression" dxfId="59" priority="55">
      <formula>$B$29="Y"</formula>
    </cfRule>
  </conditionalFormatting>
  <conditionalFormatting sqref="N21">
    <cfRule type="expression" dxfId="57" priority="178">
      <formula>$N$21="Error"</formula>
    </cfRule>
  </conditionalFormatting>
  <conditionalFormatting sqref="N22">
    <cfRule type="expression" dxfId="56" priority="109">
      <formula>$N$22="Error"</formula>
    </cfRule>
  </conditionalFormatting>
  <conditionalFormatting sqref="N61">
    <cfRule type="expression" dxfId="55" priority="285">
      <formula>$B$23="Y"</formula>
    </cfRule>
  </conditionalFormatting>
  <conditionalFormatting sqref="N62">
    <cfRule type="expression" dxfId="54" priority="37">
      <formula>$B$29="Y"</formula>
    </cfRule>
  </conditionalFormatting>
  <conditionalFormatting sqref="O21">
    <cfRule type="expression" dxfId="53" priority="179">
      <formula>$O$21="Error"</formula>
    </cfRule>
  </conditionalFormatting>
  <conditionalFormatting sqref="O22">
    <cfRule type="expression" dxfId="52" priority="110">
      <formula>$O$22="Error"</formula>
    </cfRule>
  </conditionalFormatting>
  <conditionalFormatting sqref="O60">
    <cfRule type="expression" dxfId="51" priority="63">
      <formula>AND($O$60&gt;=$P$60,$O$60&gt;=$Q$60,COUNTIF($F$18:$F$25,"Y")&gt;=1)</formula>
    </cfRule>
  </conditionalFormatting>
  <conditionalFormatting sqref="O61">
    <cfRule type="expression" dxfId="50" priority="41">
      <formula>AND($O$61&gt;=$P$61,$O$61&gt;=$Q$61,$B$23="Y")</formula>
    </cfRule>
  </conditionalFormatting>
  <conditionalFormatting sqref="O62">
    <cfRule type="expression" dxfId="49" priority="42">
      <formula>AND($O$62&gt;=$P$62,$B$29="Y")</formula>
    </cfRule>
  </conditionalFormatting>
  <conditionalFormatting sqref="O79:O80 O82:O83">
    <cfRule type="expression" dxfId="48" priority="282">
      <formula>$B$23="Y"</formula>
    </cfRule>
  </conditionalFormatting>
  <conditionalFormatting sqref="O84">
    <cfRule type="expression" dxfId="47" priority="4">
      <formula>$B$23="Y"</formula>
    </cfRule>
  </conditionalFormatting>
  <conditionalFormatting sqref="O87:O88 O90">
    <cfRule type="expression" dxfId="46" priority="57">
      <formula>$B$29="Y"</formula>
    </cfRule>
  </conditionalFormatting>
  <conditionalFormatting sqref="O89">
    <cfRule type="expression" dxfId="45" priority="56">
      <formula>$B$29="Y"</formula>
    </cfRule>
  </conditionalFormatting>
  <conditionalFormatting sqref="O91">
    <cfRule type="expression" dxfId="44" priority="7">
      <formula>$B$29="Y"</formula>
    </cfRule>
  </conditionalFormatting>
  <conditionalFormatting sqref="O62:P62">
    <cfRule type="expression" dxfId="43" priority="44">
      <formula>$B$29="Y"</formula>
    </cfRule>
  </conditionalFormatting>
  <conditionalFormatting sqref="O61:Q61">
    <cfRule type="expression" dxfId="42" priority="288">
      <formula>$B$23="Y"</formula>
    </cfRule>
  </conditionalFormatting>
  <conditionalFormatting sqref="P60">
    <cfRule type="expression" dxfId="41" priority="62">
      <formula>AND($P$60&gt;=$O$60,$P$60&gt;=$Q$60,COUNTIF($F$18:$F$25,"Y")&gt;=1)</formula>
    </cfRule>
  </conditionalFormatting>
  <conditionalFormatting sqref="P61">
    <cfRule type="expression" dxfId="40" priority="40">
      <formula>AND($P$61&gt;=$O$61,$P$61&gt;=$Q$61,$B$23="Y")</formula>
    </cfRule>
  </conditionalFormatting>
  <conditionalFormatting sqref="P62">
    <cfRule type="expression" dxfId="39" priority="43">
      <formula>AND($P$62&gt;=$O$62,$B$29="Y")</formula>
    </cfRule>
  </conditionalFormatting>
  <conditionalFormatting sqref="Q60">
    <cfRule type="expression" dxfId="38" priority="45">
      <formula>AND($Q$60&gt;$P$60,$Q$60&gt;$O$60,COUNTIF($F$18:$F$25,"Y")&gt;=1)</formula>
    </cfRule>
    <cfRule type="expression" dxfId="37" priority="292">
      <formula>AND($Q$55&gt;0,$B$23="N",$O$75=0)</formula>
    </cfRule>
  </conditionalFormatting>
  <conditionalFormatting sqref="Q61">
    <cfRule type="expression" dxfId="36" priority="39">
      <formula>AND($Q$61&gt;=$O$61,$Q$61&gt;=$P$61,$B$23="Y")</formula>
    </cfRule>
    <cfRule type="expression" dxfId="35" priority="291">
      <formula>AND($B$23="Y",$O$83=0)</formula>
    </cfRule>
  </conditionalFormatting>
  <dataValidations xWindow="624" yWindow="628" count="31">
    <dataValidation type="whole" operator="greaterThanOrEqual" allowBlank="1" showInputMessage="1" showErrorMessage="1" errorTitle="Invalid input" error="Must be a whole number equal to or greater than 0. " promptTitle="Estimated Concurrent Users" prompt="*Optional* - Input the estimated number of concurrent users for Manage.  This is the secondary metric for calculating Manage sizing._x000a__x000a_If primary metric (Current JVMs) is also entered, sizing will be the result of the larger of the two calculations." sqref="J18" xr:uid="{C5D37DDF-9B6A-A741-A279-E55FBF11E27F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*Optional* - Input the estimated number of concurrent users for Health.  This is the secondary metric for calculating Health sizing.  This is usually very small compared to Manage. NOTE: If Manage is also selected as &quot;Y&quot;, this data is not used for sizing." sqref="J19" xr:uid="{4E97058D-5B84-5941-A72A-03ABE86A233B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i/o Points" prompt="Input estimated number of I/O Points for Monitor.  This is the primary metric for determining t-shirt sizing and subsequent resource requirements._x000a__x000a_If secondary metric (Users) is also entered, t-shirt size will be the larger of the two resulting metrics." sqref="H20" xr:uid="{CF0D8FFA-832C-F643-A97A-412ECDFBE782}">
      <formula1>0</formula1>
    </dataValidation>
    <dataValidation type="textLength" operator="lessThan" allowBlank="1" showInputMessage="1" showErrorMessage="1" errorTitle="Invalid input" error="Calculation is created using the Predict Data Points Tab (Sheet)" promptTitle="Estimated Data Points" prompt="Calculated from &quot;Predict I/O Points&quot; Tab. This is the primary metric for determining t-shirt sizing and subsequent resource requirements." sqref="H21" xr:uid="{3ABB6E57-58FF-9047-9830-F2B2C2F8972D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Input the estimated number of concurrent users for MVI.  This determines the t-shirt size and subsequent resource requirements." sqref="H23" xr:uid="{F4699D72-9F06-424F-AF64-2C9D200A2B6F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*Optional* - Input estimated number of Users for Monitor.  This is the secondary metric for determining t-shirt sizing and subsequent resource requirements._x000a__x000a_If primary metric is also entered, t-shirt size will be the larger of the two resulting metrics." sqref="J20" xr:uid="{D1FC4DB1-DC80-0D40-88DA-1AF2F95EE944}">
      <formula1>0</formula1>
    </dataValidation>
    <dataValidation type="whole" operator="greaterThanOrEqual" allowBlank="1" showInputMessage="1" showErrorMessage="1" errorTitle="Invalid input" error="Must be an integer " sqref="J21" xr:uid="{6D3927A9-10D3-1D4F-8633-AB538DB83C4B}">
      <formula1>0</formula1>
    </dataValidation>
    <dataValidation type="custom" allowBlank="1" showInputMessage="1" showErrorMessage="1" errorTitle="Must be at least 64GB" error="Maximo Worker Nodes require at least 64GB of memory per server." sqref="O74" xr:uid="{689A0AA7-FF0C-4B4A-BAA0-982F351B84E1}">
      <formula1>O74&gt;=64</formula1>
    </dataValidation>
    <dataValidation type="custom" allowBlank="1" showInputMessage="1" showErrorMessage="1" errorTitle="Must be at least 64GB" error="Maximo Visual Inspection requires at least 64GB of memory per server." sqref="O82 O90" xr:uid="{8071DA28-5C9E-6849-85BB-F8F1499F8984}">
      <formula1>O82&gt;=64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Input estimated number of Concurrent Users for Optimizer. This is the primary metric for determining t-shirt size &amp; subsequent resource requirements." sqref="H25" xr:uid="{D185307C-C3A1-6540-9DB1-B2962AC0D8D9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Input estimated number of concurrent users for Assist. This is the primary metric for determining t-shirt sizing &amp; subsequent resource requirements." sqref="H24" xr:uid="{810C0A04-0FD0-F443-833C-12476534039D}">
      <formula1>0</formula1>
    </dataValidation>
    <dataValidation type="whole" operator="greaterThanOrEqual" allowBlank="1" showInputMessage="1" showErrorMessage="1" errorTitle="Invalid input" error="Must be a whole number equal to or greater than 0. " promptTitle="UI JVMs" prompt="Enter the number of estimated Manage UI JVMs required required for Maximo IT (stand-alone).  If Manage =&quot;Y&quot;, the Manage JVMs are used for sizing, plus any additional Maximo IT Users." sqref="H22" xr:uid="{F6EBC432-F8E8-B248-B82E-A7A7DFD70616}">
      <formula1>0</formula1>
    </dataValidation>
    <dataValidation type="whole" operator="greaterThanOrEqual" allowBlank="1" showInputMessage="1" showErrorMessage="1" errorTitle="Dev Environments" error="Must be a whole number greater than or equal to 0." promptTitle="Dev Environmennt Configuration" prompt="Input the number of development environments." sqref="F12" xr:uid="{FC99AF06-AAD7-2746-8D34-5237659A9313}">
      <formula1>0</formula1>
    </dataValidation>
    <dataValidation type="whole" operator="greaterThanOrEqual" allowBlank="1" showInputMessage="1" showErrorMessage="1" errorTitle="Invalid input" error="Must be a whole number equal to or greater than 0. " promptTitle="Input Current JVMs Deployed" prompt="Input the current JVMs deployed with Maximo EAM v7.x or expected JVMs if new deployment.  This is the primary metric for calculating sizing for Manage + Health. _x000a__x000a_If (Users) are also entered, sizing will be the result of the larger of the two calculations" sqref="H18:H19" xr:uid="{0377D5ED-BB99-4617-968D-65631E2CB886}">
      <formula1>0</formula1>
    </dataValidation>
    <dataValidation type="list" allowBlank="1" showInputMessage="1" showErrorMessage="1" promptTitle="MAS Application Enable" sqref="F18:F22 J34 G35 G32" xr:uid="{C60208C9-EA4C-CC4A-BDD4-C1A6A6D4A689}">
      <formula1>$B$19:$B$20</formula1>
    </dataValidation>
    <dataValidation type="list" allowBlank="1" showInputMessage="1" showErrorMessage="1" sqref="F23:F25" xr:uid="{9E0F55A0-5530-5549-B83B-DCF471B17078}">
      <formula1>$B$19:$B$20</formula1>
    </dataValidation>
    <dataValidation type="list" allowBlank="1" showInputMessage="1" showErrorMessage="1" promptTitle="OpenShift Configuration" prompt="If YES, a minimum of 3 servers are required for OpenShift Master nodes &amp; 2 servers are required for OpenShift worker nodes.  If NO, Master nodes are configured for 3 VMs on a single server, &amp; worker nodes are configured for 2 VMs on a single server." sqref="F5" xr:uid="{0CD782EF-E22D-E54B-BCCF-7B72BCFDD164}">
      <formula1>$B$19:$B$20</formula1>
    </dataValidation>
    <dataValidation type="list" allowBlank="1" showInputMessage="1" showErrorMessage="1" promptTitle="Existing OpenShift Deployment?" prompt="If YES, Control Plane Nodes are not required and set to zero.  The 2 node minimum requirement for OpenShift worker nodes is also not required. The OpenShift Worker Nodes cluster wide allocation will remain within the calculations." sqref="F6" xr:uid="{451A54F6-B6AD-1442-BE82-36583233FD2F}">
      <formula1>$B$19:$B$20</formula1>
    </dataValidation>
    <dataValidation type="list" allowBlank="1" showInputMessage="1" showErrorMessage="1" promptTitle="Isolate MVI GPU Nodes?" prompt=" If YES, GPU nodes will be calculated separately from Worker Node calculations._x000a_If NO, then GPU nodes will be included in the Worker Node calculations. " sqref="F11" xr:uid="{EC72E13F-B69E-204A-BB92-A88B60F74708}">
      <formula1>$B$19:$B$20</formula1>
    </dataValidation>
    <dataValidation type="list" allowBlank="1" showInputMessage="1" showErrorMessage="1" promptTitle="Existing Database?" prompt="If YES, DB2 and CP4D requirements will not be included in the calculations for Manage and Health.  If NO, both DB2 &amp; CP4D requirements will be included in the calculations." sqref="F7" xr:uid="{00D3C6B9-1D0E-43A6-B093-AF0A6B4E3EF5}">
      <formula1>$B$19:$B$20</formula1>
    </dataValidation>
    <dataValidation type="list" allowBlank="1" showInputMessage="1" showErrorMessage="1" promptTitle="Enforce Dev DB Size = Prod Size?" prompt="If YES, the DB Storage for Dev will be set to the Production Size._x000a_If NO, the DB Storage for Dev will be set to the minumum requirement." sqref="F13" xr:uid="{501E5A34-51ED-467C-A11E-0A8F4CEBBD86}">
      <formula1>$B$19:$B$20</formula1>
    </dataValidation>
    <dataValidation type="list" allowBlank="1" showInputMessage="1" showErrorMessage="1" promptTitle="Existing Database?" prompt="If YES, DB2 and CP4D requirements will not be included in the calculations for Monitor.  If NO, both DB2 &amp; CP4D requirements will be included in the calculations." sqref="F8" xr:uid="{EC350FD4-17AE-4060-9FCA-9A15B4D606EB}">
      <formula1>$B$19:$B$20</formula1>
    </dataValidation>
    <dataValidation type="custom" allowBlank="1" showInputMessage="1" showErrorMessage="1" errorTitle="Must be at least 8 vCPUs" error="Must be at least 8 vCPUs per CPU socket. Please Update." sqref="O72" xr:uid="{495D2A0F-4E15-4537-B4EC-547417F8C772}">
      <formula1>O72&gt;=8</formula1>
    </dataValidation>
    <dataValidation type="custom" allowBlank="1" showInputMessage="1" showErrorMessage="1" errorTitle="Must be at least 8 vCPUs" error="Must be at least 8 vCPUs per CPU socket. Please update." sqref="O80 O88" xr:uid="{AF578568-E169-4A1C-A8C4-3911436354A3}">
      <formula1>O80&gt;=8</formula1>
    </dataValidation>
    <dataValidation type="whole" operator="greaterThanOrEqual" allowBlank="1" showInputMessage="1" showErrorMessage="1" errorTitle="Invalid Input" error="Must be a whole number equal to or greater than 0. " promptTitle="MIF JVMs" sqref="H32" xr:uid="{1DA8421C-4ED9-5041-B8AA-057AAB6F5B3D}">
      <formula1>0</formula1>
    </dataValidation>
    <dataValidation type="whole" operator="greaterThanOrEqual" allowBlank="1" showInputMessage="1" showErrorMessage="1" errorTitle="Invalid input" error="Must be an integer " promptTitle="Maximo IT Concurrent Users" prompt="*Optional* - Input the estimated number of concurrent users for Maximo IT.  This is the secondary metric for calculating Maximo IT sizing._x000a__x000a_If primary metric (JVMs) is also entered, sizing will be the result of the larger of the two calculations." sqref="J22" xr:uid="{33563F9C-10AA-584C-B8E6-27BDDE24246E}">
      <formula1>0</formula1>
    </dataValidation>
    <dataValidation type="list" allowBlank="1" showInputMessage="1" showErrorMessage="1" promptTitle="Configure for Resilency" prompt="If YES, 20% additional capacity will be added to vCPUs and Memory" sqref="F14" xr:uid="{87362F48-4859-0C4F-B3D4-6F1952CA50DF}">
      <formula1>$B$19:$B$20</formula1>
    </dataValidation>
    <dataValidation type="list" allowBlank="1" showInputMessage="1" showErrorMessage="1" promptTitle="Isolate DB2 Database Server?" prompt=" If YES, DB2 Server will be calculated separately from Worker Node calculations._x000a_If NO, then DB2 database requirements will be included in the  the Worker Node calculations. " sqref="F10" xr:uid="{32F35B63-B20C-4F0D-9487-BF0C00CC306E}">
      <formula1>$B$19:$B$20</formula1>
    </dataValidation>
    <dataValidation type="list" allowBlank="1" showInputMessage="1" showErrorMessage="1" promptTitle="Existing Database?" prompt="If &quot;Y&quot;, CP4D requirements will be excluded in the calculations for Manage, Monitor, and/or Maximo IT.  If &quot;N&quot;, CP4D allocations will be included. This setting does not impace Predict." sqref="F9" xr:uid="{6FCEF06F-DEBC-9F47-9AFD-CA4BD97E1AB7}">
      <formula1>$B$19:$B$20</formula1>
    </dataValidation>
    <dataValidation type="whole" allowBlank="1" showInputMessage="1" showErrorMessage="1" errorTitle="Invalid Input" error="Must be a whole number: 0, 1, or 2" promptTitle="Crontask JVMs" prompt="Enter 0, 1 or 2.  Most installations will not require more than 1." sqref="J32" xr:uid="{3A204D39-BF02-084A-8036-B3DCFFED87F0}">
      <formula1>0</formula1>
      <formula2>2</formula2>
    </dataValidation>
    <dataValidation type="whole" operator="greaterThanOrEqual" allowBlank="1" showInputMessage="1" showErrorMessage="1" errorTitle="Invalid Input" error="Must be a whole number equal to or greater than 0. " promptTitle="Reporting JVMs" prompt="If not known, a common rule is for every 4 Manage JVMs, there will be 1 Reporting JVM." sqref="I32" xr:uid="{5209D833-99A1-304B-A50F-42192C11CA1A}">
      <formula1>0</formula1>
    </dataValidation>
  </dataValidations>
  <hyperlinks>
    <hyperlink ref="H13" r:id="rId1" xr:uid="{3AF41B3D-F678-974D-BDB6-3472240548B5}"/>
    <hyperlink ref="H14" r:id="rId2" xr:uid="{DC58855E-806D-B84B-A8F8-7DCA311056BB}"/>
  </hyperlinks>
  <pageMargins left="0.25" right="0.25" top="0.75" bottom="0.75" header="0.3" footer="0.3"/>
  <pageSetup scale="50" orientation="portrait" horizontalDpi="4294967293" verticalDpi="0" r:id="rId3"/>
  <ignoredErrors>
    <ignoredError sqref="O30:P30 M21:O21" formula="1"/>
  </ignoredErrors>
  <drawing r:id="rId4"/>
  <legacy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1" id="{A54F8AC0-437A-45A9-B6FA-C5E549D7BB8E}">
            <xm:f>'Data Source'!$S$35="Not Selected  "</xm:f>
            <x14:dxf>
              <fill>
                <patternFill>
                  <bgColor theme="0" tint="-0.14996795556505021"/>
                </patternFill>
              </fill>
            </x14:dxf>
          </x14:cfRule>
          <xm:sqref>M40:P40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29-B46E-F947-A45C-07D7EC32CA30}">
  <sheetPr>
    <pageSetUpPr fitToPage="1"/>
  </sheetPr>
  <dimension ref="B1:O75"/>
  <sheetViews>
    <sheetView showGridLines="0" showRowColHeaders="0" topLeftCell="A17" zoomScaleNormal="100" workbookViewId="0">
      <selection activeCell="H9" sqref="H9"/>
    </sheetView>
  </sheetViews>
  <sheetFormatPr baseColWidth="10" defaultColWidth="11" defaultRowHeight="16" x14ac:dyDescent="0.2"/>
  <cols>
    <col min="1" max="1" width="3.6640625" customWidth="1"/>
    <col min="2" max="3" width="18.33203125" customWidth="1"/>
    <col min="4" max="7" width="10.6640625" customWidth="1"/>
    <col min="8" max="8" width="13" customWidth="1"/>
    <col min="9" max="9" width="15" customWidth="1"/>
    <col min="10" max="12" width="10.6640625" customWidth="1"/>
    <col min="13" max="13" width="0" hidden="1" customWidth="1"/>
    <col min="14" max="14" width="5.33203125" hidden="1" customWidth="1"/>
    <col min="15" max="17" width="0" hidden="1" customWidth="1"/>
  </cols>
  <sheetData>
    <row r="1" spans="2:15" ht="10.5" customHeight="1" thickBot="1" x14ac:dyDescent="0.25"/>
    <row r="2" spans="2:15" x14ac:dyDescent="0.2">
      <c r="B2" s="588" t="str">
        <f>IF('V9 Calculator'!F14="Y","Production Environment Calculation Details - 20% Additional Capacity Reflected ONLY in V9 Calculator Sheet","Production Environment Calculation Details")</f>
        <v>Production Environment Calculation Details</v>
      </c>
      <c r="C2" s="589"/>
      <c r="D2" s="589"/>
      <c r="E2" s="589"/>
      <c r="F2" s="589"/>
      <c r="G2" s="589"/>
      <c r="H2" s="589"/>
      <c r="I2" s="589"/>
      <c r="J2" s="589"/>
      <c r="K2" s="589"/>
      <c r="L2" s="590"/>
    </row>
    <row r="3" spans="2:15" ht="16" customHeight="1" thickBot="1" x14ac:dyDescent="0.25">
      <c r="B3" s="591"/>
      <c r="C3" s="592"/>
      <c r="D3" s="592"/>
      <c r="E3" s="592"/>
      <c r="F3" s="592"/>
      <c r="G3" s="592"/>
      <c r="H3" s="592"/>
      <c r="I3" s="592"/>
      <c r="J3" s="592"/>
      <c r="K3" s="592"/>
      <c r="L3" s="593"/>
    </row>
    <row r="4" spans="2:15" ht="12" customHeight="1" x14ac:dyDescent="0.2"/>
    <row r="5" spans="2:15" ht="17" thickBot="1" x14ac:dyDescent="0.25">
      <c r="B5" s="393"/>
      <c r="C5" s="393"/>
      <c r="D5" s="41" t="str">
        <f>'V9 Calculator'!L18</f>
        <v xml:space="preserve">Manage - Calculated  </v>
      </c>
      <c r="E5" s="41" t="str">
        <f>'V9 Calculator'!L19</f>
        <v xml:space="preserve">Health - Not Selected  </v>
      </c>
      <c r="F5" s="41" t="str">
        <f>'V9 Calculator'!L20</f>
        <v xml:space="preserve">Monitor - Not Selected  </v>
      </c>
      <c r="G5" s="41" t="str">
        <f>'V9 Calculator'!L21</f>
        <v xml:space="preserve">Predict - Not Selected  </v>
      </c>
      <c r="H5" s="41" t="str">
        <f>'V9 Calculator'!L22</f>
        <v xml:space="preserve">Maximo IT - Not Selected  </v>
      </c>
      <c r="I5" s="41" t="str">
        <f>'V9 Calculator'!L23</f>
        <v xml:space="preserve">Visual Inspection - Xsmall/Min  </v>
      </c>
      <c r="J5" s="41" t="str">
        <f>'V9 Calculator'!L24</f>
        <v xml:space="preserve">Assist - Not Selected  </v>
      </c>
      <c r="K5" s="41" t="str">
        <f>'V9 Calculator'!L25</f>
        <v xml:space="preserve">Optimizer - Not Selected  </v>
      </c>
      <c r="L5" s="393"/>
    </row>
    <row r="6" spans="2:15" ht="20" thickBot="1" x14ac:dyDescent="0.3">
      <c r="B6" s="600" t="s">
        <v>175</v>
      </c>
      <c r="C6" s="601"/>
      <c r="D6" s="32" t="str">
        <f>'V9 Calculator'!E18</f>
        <v>Manage</v>
      </c>
      <c r="E6" s="31" t="str">
        <f>'V9 Calculator'!E19</f>
        <v>Health</v>
      </c>
      <c r="F6" s="31" t="str">
        <f>'V9 Calculator'!E20</f>
        <v>Monitor</v>
      </c>
      <c r="G6" s="31" t="str">
        <f>'V9 Calculator'!E21</f>
        <v>Predict</v>
      </c>
      <c r="H6" s="31" t="str">
        <f>'V9 Calculator'!E22</f>
        <v>Maximo IT</v>
      </c>
      <c r="I6" s="31" t="str">
        <f>'V9 Calculator'!E23</f>
        <v>Visual Inspection</v>
      </c>
      <c r="J6" s="31" t="str">
        <f>'V9 Calculator'!E24</f>
        <v>Assist</v>
      </c>
      <c r="K6" s="31" t="str">
        <f>'V9 Calculator'!E25</f>
        <v>Optimizer</v>
      </c>
      <c r="L6" s="394" t="s">
        <v>71</v>
      </c>
    </row>
    <row r="7" spans="2:15" ht="17" thickBot="1" x14ac:dyDescent="0.25">
      <c r="B7" s="594" t="s">
        <v>182</v>
      </c>
      <c r="C7" s="595"/>
      <c r="D7" s="103">
        <f t="shared" ref="D7:K7" si="0">IF(ISERROR(VLOOKUP(D5,MASData,2,FALSE)),0,VLOOKUP(D5,MASData,2,FALSE))</f>
        <v>3.5</v>
      </c>
      <c r="E7" s="103">
        <f t="shared" si="0"/>
        <v>0</v>
      </c>
      <c r="F7" s="103">
        <f t="shared" si="0"/>
        <v>0</v>
      </c>
      <c r="G7" s="103">
        <f t="shared" si="0"/>
        <v>0</v>
      </c>
      <c r="H7" s="103">
        <f t="shared" si="0"/>
        <v>0</v>
      </c>
      <c r="I7" s="103">
        <f t="shared" si="0"/>
        <v>4</v>
      </c>
      <c r="J7" s="103">
        <f t="shared" si="0"/>
        <v>0</v>
      </c>
      <c r="K7" s="103">
        <f t="shared" si="0"/>
        <v>0</v>
      </c>
      <c r="L7" s="104">
        <f>SUM(D7:K7)</f>
        <v>7.5</v>
      </c>
    </row>
    <row r="8" spans="2:15" ht="3" customHeight="1" thickBot="1" x14ac:dyDescent="0.25">
      <c r="B8" s="395"/>
      <c r="C8" s="396"/>
      <c r="D8" s="112"/>
      <c r="E8" s="112"/>
      <c r="F8" s="112"/>
      <c r="G8" s="112"/>
      <c r="H8" s="112"/>
      <c r="I8" s="112"/>
      <c r="J8" s="112"/>
      <c r="K8" s="112"/>
      <c r="L8" s="113"/>
    </row>
    <row r="9" spans="2:15" x14ac:dyDescent="0.2">
      <c r="B9" s="602" t="str">
        <f>'V9 Calculator'!L29</f>
        <v xml:space="preserve">Manage/Health/IT DB2 - Xsmall/Min  </v>
      </c>
      <c r="C9" s="603"/>
      <c r="D9" s="115">
        <f>IF(N9="Y",'V9 Calculator'!M29,0)</f>
        <v>12</v>
      </c>
      <c r="E9" s="114">
        <f>IF(AND(N10="Y",N9="N"),'V9 Calculator'!M29,0)</f>
        <v>0</v>
      </c>
      <c r="F9" s="114">
        <v>0</v>
      </c>
      <c r="G9" s="114">
        <v>0</v>
      </c>
      <c r="H9" s="114">
        <f>IF(AND(N9="N",N10="N",N12="Y"),'V9 Calculator'!M29,0)</f>
        <v>0</v>
      </c>
      <c r="I9" s="114">
        <v>0</v>
      </c>
      <c r="J9" s="114">
        <v>0</v>
      </c>
      <c r="K9" s="119">
        <v>0</v>
      </c>
      <c r="L9" s="121"/>
      <c r="N9" t="str">
        <f>'V9 Calculator'!F18</f>
        <v>Y</v>
      </c>
      <c r="O9" t="s">
        <v>1</v>
      </c>
    </row>
    <row r="10" spans="2:15" x14ac:dyDescent="0.2">
      <c r="B10" s="596" t="str">
        <f>'V9 Calculator'!L30</f>
        <v xml:space="preserve">Monitor DB2 - Not Selected  </v>
      </c>
      <c r="C10" s="597"/>
      <c r="D10" s="116">
        <v>0</v>
      </c>
      <c r="E10" s="111">
        <v>0</v>
      </c>
      <c r="F10" s="111">
        <f>IF(ISERROR(VLOOKUP(B10,MASData,2,FALSE)),0,VLOOKUP(B10,MASData,2,FALSE))</f>
        <v>0</v>
      </c>
      <c r="G10" s="111">
        <v>0</v>
      </c>
      <c r="H10" s="111">
        <v>0</v>
      </c>
      <c r="I10" s="111">
        <v>0</v>
      </c>
      <c r="J10" s="111">
        <v>0</v>
      </c>
      <c r="K10" s="120">
        <v>0</v>
      </c>
      <c r="L10" s="122"/>
      <c r="N10" t="str">
        <f>'V9 Calculator'!F19</f>
        <v>N</v>
      </c>
      <c r="O10" t="s">
        <v>9</v>
      </c>
    </row>
    <row r="11" spans="2:15" x14ac:dyDescent="0.2">
      <c r="B11" s="596" t="str">
        <f>'V9 Calculator'!L31</f>
        <v xml:space="preserve">Manage - (MIF, Rprt, Crontask) + Cognos + JMS  </v>
      </c>
      <c r="C11" s="597"/>
      <c r="D11" s="116">
        <f>'V9 Calculator'!M31</f>
        <v>0</v>
      </c>
      <c r="E11" s="111">
        <v>0</v>
      </c>
      <c r="F11" s="111">
        <v>0</v>
      </c>
      <c r="G11" s="111">
        <v>0</v>
      </c>
      <c r="H11" s="111">
        <v>0</v>
      </c>
      <c r="I11" s="111">
        <v>0</v>
      </c>
      <c r="J11" s="111">
        <v>0</v>
      </c>
      <c r="K11" s="120">
        <v>0</v>
      </c>
      <c r="L11" s="122"/>
      <c r="N11" t="str">
        <f>'V9 Calculator'!F20</f>
        <v>N</v>
      </c>
      <c r="O11" t="s">
        <v>6</v>
      </c>
    </row>
    <row r="12" spans="2:15" x14ac:dyDescent="0.2">
      <c r="B12" s="604" t="str">
        <f>'V9 Calculator'!L32</f>
        <v xml:space="preserve">Manage - Industry Solutions  </v>
      </c>
      <c r="C12" s="605"/>
      <c r="D12" s="116">
        <f>'V9 Calculator'!M32</f>
        <v>0</v>
      </c>
      <c r="E12" s="111">
        <v>0</v>
      </c>
      <c r="F12" s="111">
        <v>0</v>
      </c>
      <c r="G12" s="111">
        <v>0</v>
      </c>
      <c r="H12" s="111">
        <v>0</v>
      </c>
      <c r="I12" s="111">
        <v>0</v>
      </c>
      <c r="J12" s="111">
        <v>0</v>
      </c>
      <c r="K12" s="120">
        <v>0</v>
      </c>
      <c r="L12" s="122"/>
      <c r="N12" t="str">
        <f>'V9 Calculator'!F22</f>
        <v>N</v>
      </c>
      <c r="O12" t="s">
        <v>239</v>
      </c>
    </row>
    <row r="13" spans="2:15" x14ac:dyDescent="0.2">
      <c r="B13" s="596" t="str">
        <f>'V9 Calculator'!L33</f>
        <v xml:space="preserve">Watson Studio - Not Selected  </v>
      </c>
      <c r="C13" s="597"/>
      <c r="D13" s="116">
        <v>0</v>
      </c>
      <c r="E13" s="111">
        <v>0</v>
      </c>
      <c r="F13" s="111">
        <v>0</v>
      </c>
      <c r="G13" s="111">
        <f>IF(OR(N13="Y",AND(N13="Y",N14="Y")),'V9 Calculator'!M33,0)</f>
        <v>0</v>
      </c>
      <c r="H13" s="111">
        <f>IF(N13="Y",0,'V9 Calculator'!M33)</f>
        <v>0</v>
      </c>
      <c r="I13" s="111">
        <v>0</v>
      </c>
      <c r="J13" s="111">
        <v>0</v>
      </c>
      <c r="K13" s="120">
        <v>0</v>
      </c>
      <c r="L13" s="122"/>
      <c r="N13" t="str">
        <f>'V9 Calculator'!F21</f>
        <v>N</v>
      </c>
      <c r="O13" t="s">
        <v>10</v>
      </c>
    </row>
    <row r="14" spans="2:15" x14ac:dyDescent="0.2">
      <c r="B14" s="596" t="str">
        <f>'V9 Calculator'!L34</f>
        <v xml:space="preserve">Watson ML - Not Selected  </v>
      </c>
      <c r="C14" s="597"/>
      <c r="D14" s="116">
        <v>0</v>
      </c>
      <c r="E14" s="111">
        <v>0</v>
      </c>
      <c r="F14" s="111">
        <v>0</v>
      </c>
      <c r="G14" s="111">
        <f>'V9 Calculator'!M34</f>
        <v>0</v>
      </c>
      <c r="H14" s="111">
        <v>0</v>
      </c>
      <c r="I14" s="111">
        <v>0</v>
      </c>
      <c r="J14" s="111">
        <v>0</v>
      </c>
      <c r="K14" s="120">
        <v>0</v>
      </c>
      <c r="L14" s="122"/>
      <c r="N14" t="str">
        <f>'V9 Calculator'!F23</f>
        <v>Y</v>
      </c>
      <c r="O14" t="s">
        <v>18</v>
      </c>
    </row>
    <row r="15" spans="2:15" x14ac:dyDescent="0.2">
      <c r="B15" s="596" t="str">
        <f>'V9 Calculator'!L35</f>
        <v xml:space="preserve">Kafka - Not Selected  </v>
      </c>
      <c r="C15" s="597"/>
      <c r="D15" s="116">
        <v>0</v>
      </c>
      <c r="E15" s="107">
        <v>0</v>
      </c>
      <c r="F15" s="107">
        <f>'V9 Calculator'!M35</f>
        <v>0</v>
      </c>
      <c r="G15" s="107">
        <v>0</v>
      </c>
      <c r="H15" s="107">
        <v>0</v>
      </c>
      <c r="I15" s="107">
        <v>0</v>
      </c>
      <c r="J15" s="107">
        <v>0</v>
      </c>
      <c r="K15" s="108">
        <v>0</v>
      </c>
      <c r="L15" s="123"/>
      <c r="N15" t="str">
        <f>'V9 Calculator'!F24</f>
        <v>N</v>
      </c>
      <c r="O15" t="s">
        <v>75</v>
      </c>
    </row>
    <row r="16" spans="2:15" ht="17" thickBot="1" x14ac:dyDescent="0.25">
      <c r="B16" s="598" t="str">
        <f>'V9 Calculator'!L36</f>
        <v xml:space="preserve">CouchDB - Not Selected  </v>
      </c>
      <c r="C16" s="599"/>
      <c r="D16" s="117">
        <v>0</v>
      </c>
      <c r="E16" s="109">
        <v>0</v>
      </c>
      <c r="F16" s="109">
        <v>0</v>
      </c>
      <c r="G16" s="109">
        <v>0</v>
      </c>
      <c r="H16" s="109">
        <v>0</v>
      </c>
      <c r="I16" s="109">
        <v>0</v>
      </c>
      <c r="J16" s="109">
        <f>IF(ISERROR(VLOOKUP(B16,MASData,2,FALSE)),0,VLOOKUP(B16,MASData,2,FALSE))</f>
        <v>0</v>
      </c>
      <c r="K16" s="110">
        <v>0</v>
      </c>
      <c r="L16" s="124"/>
      <c r="N16" t="str">
        <f>'V9 Calculator'!F25</f>
        <v>N</v>
      </c>
      <c r="O16" t="s">
        <v>87</v>
      </c>
    </row>
    <row r="17" spans="2:12" ht="15.75" customHeight="1" thickBot="1" x14ac:dyDescent="0.25">
      <c r="B17" s="577" t="s">
        <v>202</v>
      </c>
      <c r="C17" s="578"/>
      <c r="D17" s="578"/>
      <c r="E17" s="578"/>
      <c r="F17" s="578"/>
      <c r="G17" s="578"/>
      <c r="H17" s="578"/>
      <c r="I17" s="578"/>
      <c r="J17" s="578"/>
      <c r="K17" s="579"/>
      <c r="L17" s="165">
        <f>SUM(D9:K16)</f>
        <v>12</v>
      </c>
    </row>
    <row r="18" spans="2:12" ht="3" customHeight="1" thickBot="1" x14ac:dyDescent="0.25">
      <c r="B18" s="397"/>
      <c r="C18" s="398"/>
      <c r="D18" s="118"/>
      <c r="E18" s="105"/>
      <c r="F18" s="105"/>
      <c r="G18" s="105"/>
      <c r="H18" s="105"/>
      <c r="I18" s="105"/>
      <c r="J18" s="105"/>
      <c r="K18" s="105"/>
      <c r="L18" s="106"/>
    </row>
    <row r="19" spans="2:12" x14ac:dyDescent="0.2">
      <c r="B19" s="602" t="str">
        <f>'V9 Calculator'!L40</f>
        <v xml:space="preserve">MongoDB - Xsmall/Min  </v>
      </c>
      <c r="C19" s="609"/>
      <c r="D19" s="606">
        <f>'V9 Calculator'!M40</f>
        <v>1.5</v>
      </c>
      <c r="E19" s="607"/>
      <c r="F19" s="607"/>
      <c r="G19" s="607"/>
      <c r="H19" s="607"/>
      <c r="I19" s="607"/>
      <c r="J19" s="607"/>
      <c r="K19" s="607"/>
      <c r="L19" s="583"/>
    </row>
    <row r="20" spans="2:12" x14ac:dyDescent="0.2">
      <c r="B20" s="596" t="str">
        <f>'V9 Calculator'!L41</f>
        <v xml:space="preserve">MAS Core  </v>
      </c>
      <c r="C20" s="610"/>
      <c r="D20" s="586">
        <f>'V9 Calculator'!M41</f>
        <v>2</v>
      </c>
      <c r="E20" s="587"/>
      <c r="F20" s="587"/>
      <c r="G20" s="587"/>
      <c r="H20" s="587"/>
      <c r="I20" s="587"/>
      <c r="J20" s="587"/>
      <c r="K20" s="587"/>
      <c r="L20" s="584"/>
    </row>
    <row r="21" spans="2:12" x14ac:dyDescent="0.2">
      <c r="B21" s="596" t="str">
        <f>'V9 Calculator'!L42</f>
        <v xml:space="preserve">OpenShift Worker Nodes - Xsmall/Min  </v>
      </c>
      <c r="C21" s="610"/>
      <c r="D21" s="586">
        <f>'V9 Calculator'!M42</f>
        <v>4</v>
      </c>
      <c r="E21" s="587"/>
      <c r="F21" s="587"/>
      <c r="G21" s="587"/>
      <c r="H21" s="587"/>
      <c r="I21" s="587"/>
      <c r="J21" s="587"/>
      <c r="K21" s="587"/>
      <c r="L21" s="584"/>
    </row>
    <row r="22" spans="2:12" ht="17" thickBot="1" x14ac:dyDescent="0.25">
      <c r="B22" s="598" t="str">
        <f>'V9 Calculator'!L43</f>
        <v xml:space="preserve">CP4D Base  </v>
      </c>
      <c r="C22" s="608"/>
      <c r="D22" s="614">
        <f>'V9 Calculator'!M43</f>
        <v>14</v>
      </c>
      <c r="E22" s="615"/>
      <c r="F22" s="615"/>
      <c r="G22" s="615"/>
      <c r="H22" s="615"/>
      <c r="I22" s="615"/>
      <c r="J22" s="615"/>
      <c r="K22" s="615"/>
      <c r="L22" s="585"/>
    </row>
    <row r="23" spans="2:12" ht="17" thickBot="1" x14ac:dyDescent="0.25">
      <c r="B23" s="580" t="s">
        <v>205</v>
      </c>
      <c r="C23" s="581"/>
      <c r="D23" s="581"/>
      <c r="E23" s="581"/>
      <c r="F23" s="581"/>
      <c r="G23" s="581"/>
      <c r="H23" s="581"/>
      <c r="I23" s="581"/>
      <c r="J23" s="581"/>
      <c r="K23" s="582"/>
      <c r="L23" s="125">
        <f>SUM(D19:K22)</f>
        <v>21.5</v>
      </c>
    </row>
    <row r="24" spans="2:12" ht="17" thickBot="1" x14ac:dyDescent="0.25">
      <c r="B24" s="611" t="s">
        <v>197</v>
      </c>
      <c r="C24" s="612"/>
      <c r="D24" s="612"/>
      <c r="E24" s="612"/>
      <c r="F24" s="612"/>
      <c r="G24" s="612"/>
      <c r="H24" s="612"/>
      <c r="I24" s="612"/>
      <c r="J24" s="612"/>
      <c r="K24" s="613"/>
      <c r="L24" s="399">
        <f>L23+L17+L7</f>
        <v>41</v>
      </c>
    </row>
    <row r="25" spans="2:12" ht="28" customHeight="1" thickBot="1" x14ac:dyDescent="0.25">
      <c r="B25" s="400"/>
      <c r="C25" s="401"/>
      <c r="D25" s="401"/>
      <c r="E25" s="401"/>
      <c r="F25" s="401"/>
      <c r="G25" s="401"/>
      <c r="H25" s="401"/>
      <c r="I25" s="401"/>
      <c r="J25" s="401"/>
      <c r="K25" s="401"/>
      <c r="L25" s="402"/>
    </row>
    <row r="26" spans="2:12" ht="20" thickBot="1" x14ac:dyDescent="0.3">
      <c r="B26" s="600" t="s">
        <v>176</v>
      </c>
      <c r="C26" s="601"/>
      <c r="D26" s="32" t="str">
        <f t="shared" ref="D26:K26" si="1">D6</f>
        <v>Manage</v>
      </c>
      <c r="E26" s="32" t="str">
        <f t="shared" si="1"/>
        <v>Health</v>
      </c>
      <c r="F26" s="32" t="str">
        <f t="shared" si="1"/>
        <v>Monitor</v>
      </c>
      <c r="G26" s="32" t="str">
        <f t="shared" si="1"/>
        <v>Predict</v>
      </c>
      <c r="H26" s="32" t="str">
        <f t="shared" si="1"/>
        <v>Maximo IT</v>
      </c>
      <c r="I26" s="32" t="str">
        <f t="shared" si="1"/>
        <v>Visual Inspection</v>
      </c>
      <c r="J26" s="32" t="str">
        <f t="shared" si="1"/>
        <v>Assist</v>
      </c>
      <c r="K26" s="32" t="str">
        <f t="shared" si="1"/>
        <v>Optimizer</v>
      </c>
      <c r="L26" s="394" t="s">
        <v>71</v>
      </c>
    </row>
    <row r="27" spans="2:12" ht="17" thickBot="1" x14ac:dyDescent="0.25">
      <c r="B27" s="594" t="s">
        <v>198</v>
      </c>
      <c r="C27" s="595"/>
      <c r="D27" s="103">
        <f t="shared" ref="D27:K27" si="2">IF(ISERROR(VLOOKUP(D5,MASData,3,FALSE)),0,VLOOKUP(D5,MASData,3,FALSE))</f>
        <v>19</v>
      </c>
      <c r="E27" s="103">
        <f t="shared" si="2"/>
        <v>0</v>
      </c>
      <c r="F27" s="103">
        <f t="shared" si="2"/>
        <v>0</v>
      </c>
      <c r="G27" s="103">
        <f t="shared" si="2"/>
        <v>0</v>
      </c>
      <c r="H27" s="103">
        <f t="shared" si="2"/>
        <v>0</v>
      </c>
      <c r="I27" s="103">
        <f t="shared" si="2"/>
        <v>64</v>
      </c>
      <c r="J27" s="103">
        <f t="shared" si="2"/>
        <v>0</v>
      </c>
      <c r="K27" s="103">
        <f t="shared" si="2"/>
        <v>0</v>
      </c>
      <c r="L27" s="104">
        <f>SUM(D27:K27)</f>
        <v>83</v>
      </c>
    </row>
    <row r="28" spans="2:12" ht="3" customHeight="1" thickBot="1" x14ac:dyDescent="0.25">
      <c r="B28" s="395"/>
      <c r="C28" s="396"/>
      <c r="D28" s="112"/>
      <c r="E28" s="112"/>
      <c r="F28" s="112"/>
      <c r="G28" s="112"/>
      <c r="H28" s="112"/>
      <c r="I28" s="112"/>
      <c r="J28" s="112"/>
      <c r="K28" s="112"/>
      <c r="L28" s="113"/>
    </row>
    <row r="29" spans="2:12" x14ac:dyDescent="0.2">
      <c r="B29" s="602" t="str">
        <f t="shared" ref="B29:B36" si="3">B9</f>
        <v xml:space="preserve">Manage/Health/IT DB2 - Xsmall/Min  </v>
      </c>
      <c r="C29" s="603"/>
      <c r="D29" s="115">
        <f>IF(N9="Y",'V9 Calculator'!N29,0)</f>
        <v>48</v>
      </c>
      <c r="E29" s="114">
        <f>IF(AND(N10="Y",N9="N"),'V9 Calculator'!N29,0)</f>
        <v>0</v>
      </c>
      <c r="F29" s="114">
        <v>0</v>
      </c>
      <c r="G29" s="114">
        <v>0</v>
      </c>
      <c r="H29" s="114">
        <f>IF(AND(N9="N",N10="N",N12="Y"),'V9 Calculator'!N29,0)</f>
        <v>0</v>
      </c>
      <c r="I29" s="114">
        <v>0</v>
      </c>
      <c r="J29" s="114">
        <v>0</v>
      </c>
      <c r="K29" s="119">
        <v>0</v>
      </c>
      <c r="L29" s="121"/>
    </row>
    <row r="30" spans="2:12" x14ac:dyDescent="0.2">
      <c r="B30" s="596" t="str">
        <f t="shared" si="3"/>
        <v xml:space="preserve">Monitor DB2 - Not Selected  </v>
      </c>
      <c r="C30" s="597"/>
      <c r="D30" s="116">
        <v>0</v>
      </c>
      <c r="E30" s="111">
        <v>0</v>
      </c>
      <c r="F30" s="111">
        <f>IF(ISERROR(VLOOKUP(B30,MASData,3,FALSE)),0,VLOOKUP(B30,MASData,3,FALSE))</f>
        <v>0</v>
      </c>
      <c r="G30" s="111">
        <v>0</v>
      </c>
      <c r="H30" s="111">
        <v>0</v>
      </c>
      <c r="I30" s="111">
        <v>0</v>
      </c>
      <c r="J30" s="111">
        <v>0</v>
      </c>
      <c r="K30" s="120">
        <v>0</v>
      </c>
      <c r="L30" s="122"/>
    </row>
    <row r="31" spans="2:12" x14ac:dyDescent="0.2">
      <c r="B31" s="596" t="str">
        <f t="shared" si="3"/>
        <v xml:space="preserve">Manage - (MIF, Rprt, Crontask) + Cognos + JMS  </v>
      </c>
      <c r="C31" s="597"/>
      <c r="D31" s="116">
        <f>'V9 Calculator'!N31</f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0</v>
      </c>
      <c r="J31" s="111">
        <v>0</v>
      </c>
      <c r="K31" s="120">
        <v>0</v>
      </c>
      <c r="L31" s="122"/>
    </row>
    <row r="32" spans="2:12" x14ac:dyDescent="0.2">
      <c r="B32" s="604" t="str">
        <f t="shared" si="3"/>
        <v xml:space="preserve">Manage - Industry Solutions  </v>
      </c>
      <c r="C32" s="605"/>
      <c r="D32" s="116">
        <f>'V9 Calculator'!N32</f>
        <v>0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20">
        <v>0</v>
      </c>
      <c r="L32" s="122"/>
    </row>
    <row r="33" spans="2:12" x14ac:dyDescent="0.2">
      <c r="B33" s="596" t="str">
        <f t="shared" si="3"/>
        <v xml:space="preserve">Watson Studio - Not Selected  </v>
      </c>
      <c r="C33" s="597"/>
      <c r="D33" s="116">
        <v>0</v>
      </c>
      <c r="E33" s="111">
        <v>0</v>
      </c>
      <c r="F33" s="111">
        <v>0</v>
      </c>
      <c r="G33" s="111">
        <f>IF(OR(N13="Y",AND(N13="Y",N14="Y")),'V9 Calculator'!N33,0)</f>
        <v>0</v>
      </c>
      <c r="H33" s="111">
        <f>IF(N13="Y",0,'V9 Calculator'!N33)</f>
        <v>0</v>
      </c>
      <c r="I33" s="111">
        <v>0</v>
      </c>
      <c r="J33" s="111">
        <v>0</v>
      </c>
      <c r="K33" s="120">
        <v>0</v>
      </c>
      <c r="L33" s="122"/>
    </row>
    <row r="34" spans="2:12" x14ac:dyDescent="0.2">
      <c r="B34" s="596" t="str">
        <f t="shared" si="3"/>
        <v xml:space="preserve">Watson ML - Not Selected  </v>
      </c>
      <c r="C34" s="597"/>
      <c r="D34" s="116">
        <v>0</v>
      </c>
      <c r="E34" s="111">
        <v>0</v>
      </c>
      <c r="F34" s="111">
        <v>0</v>
      </c>
      <c r="G34" s="111">
        <f>'V9 Calculator'!N34</f>
        <v>0</v>
      </c>
      <c r="H34" s="111">
        <v>0</v>
      </c>
      <c r="I34" s="111">
        <v>0</v>
      </c>
      <c r="J34" s="111">
        <v>0</v>
      </c>
      <c r="K34" s="120">
        <v>0</v>
      </c>
      <c r="L34" s="122"/>
    </row>
    <row r="35" spans="2:12" x14ac:dyDescent="0.2">
      <c r="B35" s="596" t="str">
        <f t="shared" si="3"/>
        <v xml:space="preserve">Kafka - Not Selected  </v>
      </c>
      <c r="C35" s="597"/>
      <c r="D35" s="116">
        <v>0</v>
      </c>
      <c r="E35" s="107">
        <v>0</v>
      </c>
      <c r="F35" s="107">
        <f>'V9 Calculator'!N35</f>
        <v>0</v>
      </c>
      <c r="G35" s="107">
        <v>0</v>
      </c>
      <c r="H35" s="107">
        <v>0</v>
      </c>
      <c r="I35" s="107">
        <v>0</v>
      </c>
      <c r="J35" s="107">
        <v>0</v>
      </c>
      <c r="K35" s="108">
        <v>0</v>
      </c>
      <c r="L35" s="123"/>
    </row>
    <row r="36" spans="2:12" ht="17" thickBot="1" x14ac:dyDescent="0.25">
      <c r="B36" s="598" t="str">
        <f t="shared" si="3"/>
        <v xml:space="preserve">CouchDB - Not Selected  </v>
      </c>
      <c r="C36" s="599"/>
      <c r="D36" s="117">
        <v>0</v>
      </c>
      <c r="E36" s="109">
        <v>0</v>
      </c>
      <c r="F36" s="109">
        <v>0</v>
      </c>
      <c r="G36" s="109">
        <v>0</v>
      </c>
      <c r="H36" s="109">
        <v>0</v>
      </c>
      <c r="I36" s="109">
        <v>0</v>
      </c>
      <c r="J36" s="109">
        <f>IF(ISERROR(VLOOKUP(B36,MASData,3,FALSE)),0,VLOOKUP(B36,MASData,3,FALSE))</f>
        <v>0</v>
      </c>
      <c r="K36" s="110">
        <v>0</v>
      </c>
      <c r="L36" s="124"/>
    </row>
    <row r="37" spans="2:12" ht="17" thickBot="1" x14ac:dyDescent="0.25">
      <c r="B37" s="577" t="s">
        <v>203</v>
      </c>
      <c r="C37" s="578"/>
      <c r="D37" s="578"/>
      <c r="E37" s="578"/>
      <c r="F37" s="578"/>
      <c r="G37" s="578"/>
      <c r="H37" s="578"/>
      <c r="I37" s="578"/>
      <c r="J37" s="578"/>
      <c r="K37" s="579"/>
      <c r="L37" s="165">
        <f>SUM(D29:K36)</f>
        <v>48</v>
      </c>
    </row>
    <row r="38" spans="2:12" ht="3" customHeight="1" thickBot="1" x14ac:dyDescent="0.25">
      <c r="B38" s="397"/>
      <c r="C38" s="398"/>
      <c r="D38" s="118"/>
      <c r="E38" s="105"/>
      <c r="F38" s="105"/>
      <c r="G38" s="105"/>
      <c r="H38" s="105"/>
      <c r="I38" s="105"/>
      <c r="J38" s="105"/>
      <c r="K38" s="105"/>
      <c r="L38" s="106"/>
    </row>
    <row r="39" spans="2:12" x14ac:dyDescent="0.2">
      <c r="B39" s="602" t="str">
        <f>B19</f>
        <v xml:space="preserve">MongoDB - Xsmall/Min  </v>
      </c>
      <c r="C39" s="609"/>
      <c r="D39" s="606">
        <f>'V9 Calculator'!N40</f>
        <v>3</v>
      </c>
      <c r="E39" s="607"/>
      <c r="F39" s="607"/>
      <c r="G39" s="607"/>
      <c r="H39" s="607"/>
      <c r="I39" s="607"/>
      <c r="J39" s="607"/>
      <c r="K39" s="607"/>
      <c r="L39" s="583"/>
    </row>
    <row r="40" spans="2:12" x14ac:dyDescent="0.2">
      <c r="B40" s="596" t="str">
        <f>B20</f>
        <v xml:space="preserve">MAS Core  </v>
      </c>
      <c r="C40" s="610"/>
      <c r="D40" s="586">
        <f>'V9 Calculator'!N41</f>
        <v>2</v>
      </c>
      <c r="E40" s="587"/>
      <c r="F40" s="587"/>
      <c r="G40" s="587"/>
      <c r="H40" s="587"/>
      <c r="I40" s="587"/>
      <c r="J40" s="587"/>
      <c r="K40" s="587"/>
      <c r="L40" s="584"/>
    </row>
    <row r="41" spans="2:12" x14ac:dyDescent="0.2">
      <c r="B41" s="596" t="str">
        <f>B21</f>
        <v xml:space="preserve">OpenShift Worker Nodes - Xsmall/Min  </v>
      </c>
      <c r="C41" s="610"/>
      <c r="D41" s="586">
        <f>'V9 Calculator'!N42</f>
        <v>16</v>
      </c>
      <c r="E41" s="587"/>
      <c r="F41" s="587"/>
      <c r="G41" s="587"/>
      <c r="H41" s="587"/>
      <c r="I41" s="587"/>
      <c r="J41" s="587"/>
      <c r="K41" s="587"/>
      <c r="L41" s="584"/>
    </row>
    <row r="42" spans="2:12" ht="17" thickBot="1" x14ac:dyDescent="0.25">
      <c r="B42" s="598" t="str">
        <f>B22</f>
        <v xml:space="preserve">CP4D Base  </v>
      </c>
      <c r="C42" s="608"/>
      <c r="D42" s="614">
        <f>'V9 Calculator'!N43</f>
        <v>10</v>
      </c>
      <c r="E42" s="615"/>
      <c r="F42" s="615"/>
      <c r="G42" s="615"/>
      <c r="H42" s="615"/>
      <c r="I42" s="615"/>
      <c r="J42" s="615"/>
      <c r="K42" s="615"/>
      <c r="L42" s="585"/>
    </row>
    <row r="43" spans="2:12" ht="17" thickBot="1" x14ac:dyDescent="0.25">
      <c r="B43" s="580" t="s">
        <v>204</v>
      </c>
      <c r="C43" s="581"/>
      <c r="D43" s="581"/>
      <c r="E43" s="581"/>
      <c r="F43" s="581"/>
      <c r="G43" s="581"/>
      <c r="H43" s="581"/>
      <c r="I43" s="581"/>
      <c r="J43" s="581"/>
      <c r="K43" s="582"/>
      <c r="L43" s="125">
        <f>SUM(D39:K42)</f>
        <v>31</v>
      </c>
    </row>
    <row r="44" spans="2:12" ht="16" customHeight="1" thickBot="1" x14ac:dyDescent="0.25">
      <c r="B44" s="611" t="s">
        <v>199</v>
      </c>
      <c r="C44" s="612"/>
      <c r="D44" s="612"/>
      <c r="E44" s="612"/>
      <c r="F44" s="612"/>
      <c r="G44" s="612"/>
      <c r="H44" s="612"/>
      <c r="I44" s="612"/>
      <c r="J44" s="612"/>
      <c r="K44" s="613"/>
      <c r="L44" s="399">
        <f>L43+L37+L27</f>
        <v>162</v>
      </c>
    </row>
    <row r="45" spans="2:12" ht="28" customHeight="1" thickBot="1" x14ac:dyDescent="0.25">
      <c r="B45" s="400"/>
      <c r="C45" s="401"/>
      <c r="D45" s="401"/>
      <c r="E45" s="401"/>
      <c r="F45" s="401"/>
      <c r="G45" s="401"/>
      <c r="H45" s="401"/>
      <c r="I45" s="401"/>
      <c r="J45" s="401"/>
      <c r="K45" s="401"/>
      <c r="L45" s="402"/>
    </row>
    <row r="46" spans="2:12" ht="20" thickBot="1" x14ac:dyDescent="0.3">
      <c r="B46" s="600" t="s">
        <v>200</v>
      </c>
      <c r="C46" s="601"/>
      <c r="D46" s="32" t="str">
        <f t="shared" ref="D46:K46" si="4">D26</f>
        <v>Manage</v>
      </c>
      <c r="E46" s="32" t="str">
        <f t="shared" si="4"/>
        <v>Health</v>
      </c>
      <c r="F46" s="32" t="str">
        <f t="shared" si="4"/>
        <v>Monitor</v>
      </c>
      <c r="G46" s="32" t="str">
        <f t="shared" si="4"/>
        <v>Predict</v>
      </c>
      <c r="H46" s="32" t="str">
        <f t="shared" si="4"/>
        <v>Maximo IT</v>
      </c>
      <c r="I46" s="32" t="str">
        <f t="shared" si="4"/>
        <v>Visual Inspection</v>
      </c>
      <c r="J46" s="32" t="str">
        <f t="shared" si="4"/>
        <v>Assist</v>
      </c>
      <c r="K46" s="32" t="str">
        <f t="shared" si="4"/>
        <v>Optimizer</v>
      </c>
      <c r="L46" s="394" t="s">
        <v>71</v>
      </c>
    </row>
    <row r="47" spans="2:12" ht="17" thickBot="1" x14ac:dyDescent="0.25">
      <c r="B47" s="594" t="s">
        <v>201</v>
      </c>
      <c r="C47" s="595"/>
      <c r="D47" s="103">
        <f t="shared" ref="D47:K47" si="5">IF(ISERROR(VLOOKUP(D5,MASData,4,FALSE)),0,VLOOKUP(D5,MASData,4,FALSE))</f>
        <v>0</v>
      </c>
      <c r="E47" s="103">
        <f t="shared" si="5"/>
        <v>0</v>
      </c>
      <c r="F47" s="103">
        <f t="shared" si="5"/>
        <v>0</v>
      </c>
      <c r="G47" s="103">
        <f t="shared" si="5"/>
        <v>0</v>
      </c>
      <c r="H47" s="103">
        <f t="shared" si="5"/>
        <v>0</v>
      </c>
      <c r="I47" s="103">
        <f t="shared" si="5"/>
        <v>115</v>
      </c>
      <c r="J47" s="103">
        <f t="shared" si="5"/>
        <v>0</v>
      </c>
      <c r="K47" s="103">
        <f t="shared" si="5"/>
        <v>0</v>
      </c>
      <c r="L47" s="403">
        <f>SUM(D47:K47)</f>
        <v>115</v>
      </c>
    </row>
    <row r="48" spans="2:12" ht="3" customHeight="1" thickBot="1" x14ac:dyDescent="0.25">
      <c r="B48" s="395"/>
      <c r="C48" s="396"/>
      <c r="D48" s="112"/>
      <c r="E48" s="112"/>
      <c r="F48" s="112"/>
      <c r="G48" s="112"/>
      <c r="H48" s="112"/>
      <c r="I48" s="112"/>
      <c r="J48" s="112"/>
      <c r="K48" s="112"/>
      <c r="L48" s="113"/>
    </row>
    <row r="49" spans="2:12" ht="16" customHeight="1" x14ac:dyDescent="0.2">
      <c r="B49" s="602" t="str">
        <f t="shared" ref="B49:B54" si="6">B29</f>
        <v xml:space="preserve">Manage/Health/IT DB2 - Xsmall/Min  </v>
      </c>
      <c r="C49" s="603"/>
      <c r="D49" s="115">
        <f>IF(N9="Y",'V9 Calculator'!P29,0)</f>
        <v>298</v>
      </c>
      <c r="E49" s="114">
        <f>IF(AND(N10="Y",N9="N"),'V9 Calculator'!P29,0)</f>
        <v>0</v>
      </c>
      <c r="F49" s="114">
        <v>0</v>
      </c>
      <c r="G49" s="114">
        <v>0</v>
      </c>
      <c r="H49" s="115">
        <f>IF(AND(N9="N",N10="N",N12="Y"),'V9 Calculator'!P29,0)</f>
        <v>0</v>
      </c>
      <c r="I49" s="114">
        <v>0</v>
      </c>
      <c r="J49" s="114">
        <v>0</v>
      </c>
      <c r="K49" s="119">
        <v>0</v>
      </c>
      <c r="L49" s="121"/>
    </row>
    <row r="50" spans="2:12" x14ac:dyDescent="0.2">
      <c r="B50" s="596" t="str">
        <f t="shared" si="6"/>
        <v xml:space="preserve">Monitor DB2 - Not Selected  </v>
      </c>
      <c r="C50" s="597"/>
      <c r="D50" s="116">
        <v>0</v>
      </c>
      <c r="E50" s="111">
        <v>0</v>
      </c>
      <c r="F50" s="111">
        <f>'V9 Calculator'!P30</f>
        <v>0</v>
      </c>
      <c r="G50" s="111">
        <v>0</v>
      </c>
      <c r="H50" s="111">
        <v>0</v>
      </c>
      <c r="I50" s="111">
        <v>0</v>
      </c>
      <c r="J50" s="111">
        <v>0</v>
      </c>
      <c r="K50" s="120">
        <v>0</v>
      </c>
      <c r="L50" s="122"/>
    </row>
    <row r="51" spans="2:12" ht="16" customHeight="1" x14ac:dyDescent="0.2">
      <c r="B51" s="596" t="str">
        <f t="shared" si="6"/>
        <v xml:space="preserve">Manage - (MIF, Rprt, Crontask) + Cognos + JMS  </v>
      </c>
      <c r="C51" s="597"/>
      <c r="D51" s="116">
        <f>'V9 Calculator'!O31</f>
        <v>0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20">
        <v>0</v>
      </c>
      <c r="L51" s="122"/>
    </row>
    <row r="52" spans="2:12" ht="16" customHeight="1" x14ac:dyDescent="0.2">
      <c r="B52" s="604" t="str">
        <f t="shared" si="6"/>
        <v xml:space="preserve">Manage - Industry Solutions  </v>
      </c>
      <c r="C52" s="605"/>
      <c r="D52" s="116">
        <f>'V9 Calculator'!O32</f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20">
        <v>0</v>
      </c>
      <c r="L52" s="122"/>
    </row>
    <row r="53" spans="2:12" x14ac:dyDescent="0.2">
      <c r="B53" s="596" t="str">
        <f t="shared" si="6"/>
        <v xml:space="preserve">Watson Studio - Not Selected  </v>
      </c>
      <c r="C53" s="597"/>
      <c r="D53" s="116">
        <v>0</v>
      </c>
      <c r="E53" s="111">
        <v>0</v>
      </c>
      <c r="F53" s="111">
        <v>0</v>
      </c>
      <c r="G53" s="111">
        <f>IF(OR(N13="Y",AND(N13="Y",N14="Y")),'V9 Calculator'!O33,0)</f>
        <v>0</v>
      </c>
      <c r="H53" s="111">
        <f>IF(N13="Y",0,'V9 Calculator'!O33)</f>
        <v>0</v>
      </c>
      <c r="I53" s="111">
        <v>0</v>
      </c>
      <c r="J53" s="111">
        <v>0</v>
      </c>
      <c r="K53" s="120">
        <v>0</v>
      </c>
      <c r="L53" s="122"/>
    </row>
    <row r="54" spans="2:12" x14ac:dyDescent="0.2">
      <c r="B54" s="596" t="str">
        <f t="shared" si="6"/>
        <v xml:space="preserve">Watson ML - Not Selected  </v>
      </c>
      <c r="C54" s="597"/>
      <c r="D54" s="116">
        <v>0</v>
      </c>
      <c r="E54" s="111">
        <v>0</v>
      </c>
      <c r="F54" s="111">
        <v>0</v>
      </c>
      <c r="G54" s="111">
        <f>'V9 Calculator'!O34</f>
        <v>0</v>
      </c>
      <c r="H54" s="111">
        <v>0</v>
      </c>
      <c r="I54" s="111">
        <v>0</v>
      </c>
      <c r="J54" s="111">
        <v>0</v>
      </c>
      <c r="K54" s="120">
        <v>0</v>
      </c>
      <c r="L54" s="122"/>
    </row>
    <row r="55" spans="2:12" x14ac:dyDescent="0.2">
      <c r="B55" s="596" t="str">
        <f t="shared" ref="B55:B56" si="7">B35</f>
        <v xml:space="preserve">Kafka - Not Selected  </v>
      </c>
      <c r="C55" s="597"/>
      <c r="D55" s="116">
        <v>0</v>
      </c>
      <c r="E55" s="107">
        <v>0</v>
      </c>
      <c r="F55" s="107">
        <v>0</v>
      </c>
      <c r="G55" s="107">
        <v>0</v>
      </c>
      <c r="H55" s="107">
        <v>0</v>
      </c>
      <c r="I55" s="107">
        <v>0</v>
      </c>
      <c r="J55" s="107">
        <v>0</v>
      </c>
      <c r="K55" s="108">
        <v>0</v>
      </c>
      <c r="L55" s="123"/>
    </row>
    <row r="56" spans="2:12" ht="17" thickBot="1" x14ac:dyDescent="0.25">
      <c r="B56" s="598" t="str">
        <f t="shared" si="7"/>
        <v xml:space="preserve">CouchDB - Not Selected  </v>
      </c>
      <c r="C56" s="599"/>
      <c r="D56" s="117">
        <v>0</v>
      </c>
      <c r="E56" s="109">
        <v>0</v>
      </c>
      <c r="F56" s="109">
        <v>0</v>
      </c>
      <c r="G56" s="109">
        <v>0</v>
      </c>
      <c r="H56" s="109">
        <v>0</v>
      </c>
      <c r="I56" s="109">
        <v>0</v>
      </c>
      <c r="J56" s="109">
        <f>'V9 Calculator'!O36</f>
        <v>0</v>
      </c>
      <c r="K56" s="110">
        <v>0</v>
      </c>
      <c r="L56" s="124"/>
    </row>
    <row r="57" spans="2:12" ht="17" thickBot="1" x14ac:dyDescent="0.25">
      <c r="B57" s="577" t="s">
        <v>206</v>
      </c>
      <c r="C57" s="578"/>
      <c r="D57" s="578"/>
      <c r="E57" s="578"/>
      <c r="F57" s="578"/>
      <c r="G57" s="578"/>
      <c r="H57" s="578"/>
      <c r="I57" s="578"/>
      <c r="J57" s="578"/>
      <c r="K57" s="579"/>
      <c r="L57" s="165">
        <f>SUM(D51:K56)</f>
        <v>0</v>
      </c>
    </row>
    <row r="58" spans="2:12" ht="17" thickBot="1" x14ac:dyDescent="0.25">
      <c r="B58" s="622" t="s">
        <v>208</v>
      </c>
      <c r="C58" s="623"/>
      <c r="D58" s="623"/>
      <c r="E58" s="623"/>
      <c r="F58" s="623"/>
      <c r="G58" s="623"/>
      <c r="H58" s="623"/>
      <c r="I58" s="623"/>
      <c r="J58" s="623"/>
      <c r="K58" s="624"/>
      <c r="L58" s="140">
        <f>SUM(D49:K50)</f>
        <v>298</v>
      </c>
    </row>
    <row r="59" spans="2:12" ht="3" customHeight="1" thickBot="1" x14ac:dyDescent="0.25">
      <c r="B59" s="397"/>
      <c r="C59" s="398"/>
      <c r="D59" s="118"/>
      <c r="E59" s="105"/>
      <c r="F59" s="105"/>
      <c r="G59" s="105"/>
      <c r="H59" s="105"/>
      <c r="I59" s="105"/>
      <c r="J59" s="105"/>
      <c r="K59" s="105"/>
      <c r="L59" s="106"/>
    </row>
    <row r="60" spans="2:12" x14ac:dyDescent="0.2">
      <c r="B60" s="602" t="str">
        <f>B39</f>
        <v xml:space="preserve">MongoDB - Xsmall/Min  </v>
      </c>
      <c r="C60" s="609"/>
      <c r="D60" s="606">
        <f>'V9 Calculator'!O40</f>
        <v>20</v>
      </c>
      <c r="E60" s="607"/>
      <c r="F60" s="607"/>
      <c r="G60" s="607"/>
      <c r="H60" s="607"/>
      <c r="I60" s="607"/>
      <c r="J60" s="607"/>
      <c r="K60" s="607"/>
      <c r="L60" s="583"/>
    </row>
    <row r="61" spans="2:12" x14ac:dyDescent="0.2">
      <c r="B61" s="596" t="str">
        <f>B40</f>
        <v xml:space="preserve">MAS Core  </v>
      </c>
      <c r="C61" s="610"/>
      <c r="D61" s="586">
        <f>'V9 Calculator'!O41</f>
        <v>20</v>
      </c>
      <c r="E61" s="587"/>
      <c r="F61" s="587"/>
      <c r="G61" s="587"/>
      <c r="H61" s="587"/>
      <c r="I61" s="587"/>
      <c r="J61" s="587"/>
      <c r="K61" s="587"/>
      <c r="L61" s="584"/>
    </row>
    <row r="62" spans="2:12" x14ac:dyDescent="0.2">
      <c r="B62" s="596" t="str">
        <f>B41</f>
        <v xml:space="preserve">OpenShift Worker Nodes - Xsmall/Min  </v>
      </c>
      <c r="C62" s="610"/>
      <c r="D62" s="586">
        <f>'V9 Calculator'!O42</f>
        <v>240</v>
      </c>
      <c r="E62" s="587"/>
      <c r="F62" s="587"/>
      <c r="G62" s="587"/>
      <c r="H62" s="587"/>
      <c r="I62" s="587"/>
      <c r="J62" s="587"/>
      <c r="K62" s="587"/>
      <c r="L62" s="584"/>
    </row>
    <row r="63" spans="2:12" ht="17" thickBot="1" x14ac:dyDescent="0.25">
      <c r="B63" s="598" t="str">
        <f>B42</f>
        <v xml:space="preserve">CP4D Base  </v>
      </c>
      <c r="C63" s="608"/>
      <c r="D63" s="614">
        <f>'V9 Calculator'!O43</f>
        <v>655</v>
      </c>
      <c r="E63" s="615"/>
      <c r="F63" s="615"/>
      <c r="G63" s="615"/>
      <c r="H63" s="615"/>
      <c r="I63" s="615"/>
      <c r="J63" s="615"/>
      <c r="K63" s="615"/>
      <c r="L63" s="585"/>
    </row>
    <row r="64" spans="2:12" ht="17" thickBot="1" x14ac:dyDescent="0.25">
      <c r="B64" s="580" t="s">
        <v>207</v>
      </c>
      <c r="C64" s="581"/>
      <c r="D64" s="581"/>
      <c r="E64" s="581"/>
      <c r="F64" s="581"/>
      <c r="G64" s="581"/>
      <c r="H64" s="581"/>
      <c r="I64" s="581"/>
      <c r="J64" s="581"/>
      <c r="K64" s="582"/>
      <c r="L64" s="404">
        <f>SUM(D60:K63)</f>
        <v>935</v>
      </c>
    </row>
    <row r="65" spans="2:12" ht="28" customHeight="1" thickBot="1" x14ac:dyDescent="0.25">
      <c r="B65" s="126"/>
      <c r="C65" s="127"/>
      <c r="D65" s="127"/>
      <c r="E65" s="127"/>
      <c r="F65" s="127"/>
      <c r="G65" s="127"/>
      <c r="H65" s="127"/>
      <c r="I65" s="127"/>
      <c r="J65" s="127"/>
      <c r="K65" s="128"/>
      <c r="L65" s="405"/>
    </row>
    <row r="66" spans="2:12" ht="17" thickBot="1" x14ac:dyDescent="0.25">
      <c r="B66" s="611" t="s">
        <v>210</v>
      </c>
      <c r="C66" s="612"/>
      <c r="D66" s="612"/>
      <c r="E66" s="612"/>
      <c r="F66" s="612"/>
      <c r="G66" s="612"/>
      <c r="H66" s="612"/>
      <c r="I66" s="612"/>
      <c r="J66" s="612"/>
      <c r="K66" s="613"/>
      <c r="L66" s="399">
        <f>L64+L57+L47</f>
        <v>1050</v>
      </c>
    </row>
    <row r="67" spans="2:12" ht="17" thickBot="1" x14ac:dyDescent="0.25">
      <c r="B67" s="611" t="s">
        <v>209</v>
      </c>
      <c r="C67" s="612"/>
      <c r="D67" s="612"/>
      <c r="E67" s="612"/>
      <c r="F67" s="612"/>
      <c r="G67" s="612"/>
      <c r="H67" s="612"/>
      <c r="I67" s="612"/>
      <c r="J67" s="612"/>
      <c r="K67" s="613"/>
      <c r="L67" s="399">
        <f>L58</f>
        <v>298</v>
      </c>
    </row>
    <row r="68" spans="2:12" ht="17" thickBot="1" x14ac:dyDescent="0.25"/>
    <row r="69" spans="2:12" ht="20" thickBot="1" x14ac:dyDescent="0.3">
      <c r="B69" s="600" t="s">
        <v>14</v>
      </c>
      <c r="C69" s="601"/>
      <c r="D69" s="32" t="str">
        <f>D46</f>
        <v>Manage</v>
      </c>
      <c r="E69" s="32" t="str">
        <f t="shared" ref="E69:K69" si="8">E46</f>
        <v>Health</v>
      </c>
      <c r="F69" s="32" t="str">
        <f t="shared" si="8"/>
        <v>Monitor</v>
      </c>
      <c r="G69" s="32" t="str">
        <f t="shared" si="8"/>
        <v>Predict</v>
      </c>
      <c r="H69" s="32" t="str">
        <f t="shared" si="8"/>
        <v>Maximo IT</v>
      </c>
      <c r="I69" s="32" t="str">
        <f t="shared" si="8"/>
        <v>Visual Inspection</v>
      </c>
      <c r="J69" s="32" t="str">
        <f t="shared" si="8"/>
        <v>Assist</v>
      </c>
      <c r="K69" s="32" t="str">
        <f t="shared" si="8"/>
        <v>Optimizer</v>
      </c>
      <c r="L69" s="394" t="s">
        <v>71</v>
      </c>
    </row>
    <row r="70" spans="2:12" ht="17" thickBot="1" x14ac:dyDescent="0.25">
      <c r="B70" s="594" t="s">
        <v>211</v>
      </c>
      <c r="C70" s="595"/>
      <c r="D70" s="103">
        <f t="shared" ref="D70:K70" si="9">IF(ISERROR(VLOOKUP(D5,MASData,6,FALSE)),0,VLOOKUP(D5,MASData,6,FALSE))</f>
        <v>0</v>
      </c>
      <c r="E70" s="103">
        <f t="shared" si="9"/>
        <v>0</v>
      </c>
      <c r="F70" s="103">
        <f t="shared" si="9"/>
        <v>0</v>
      </c>
      <c r="G70" s="103">
        <f t="shared" si="9"/>
        <v>0</v>
      </c>
      <c r="H70" s="103">
        <f t="shared" si="9"/>
        <v>0</v>
      </c>
      <c r="I70" s="103">
        <f t="shared" si="9"/>
        <v>2</v>
      </c>
      <c r="J70" s="103">
        <f t="shared" si="9"/>
        <v>0</v>
      </c>
      <c r="K70" s="103">
        <f t="shared" si="9"/>
        <v>0</v>
      </c>
      <c r="L70" s="403">
        <f>SUM(D70:K70)</f>
        <v>2</v>
      </c>
    </row>
    <row r="71" spans="2:12" ht="3" customHeight="1" x14ac:dyDescent="0.2">
      <c r="B71" s="395"/>
      <c r="C71" s="396"/>
      <c r="D71" s="112"/>
      <c r="E71" s="112"/>
      <c r="F71" s="112"/>
      <c r="G71" s="112"/>
      <c r="H71" s="112"/>
      <c r="I71" s="112"/>
      <c r="J71" s="112"/>
      <c r="K71" s="112"/>
      <c r="L71" s="113"/>
    </row>
    <row r="72" spans="2:12" ht="17" thickBot="1" x14ac:dyDescent="0.25"/>
    <row r="73" spans="2:12" ht="18.75" customHeight="1" x14ac:dyDescent="0.2">
      <c r="B73" s="616" t="s">
        <v>212</v>
      </c>
      <c r="C73" s="617"/>
      <c r="D73" s="406" t="s">
        <v>72</v>
      </c>
      <c r="E73" s="406" t="s">
        <v>179</v>
      </c>
      <c r="F73" s="407" t="s">
        <v>179</v>
      </c>
    </row>
    <row r="74" spans="2:12" ht="17" thickBot="1" x14ac:dyDescent="0.25">
      <c r="B74" s="618"/>
      <c r="C74" s="619"/>
      <c r="D74" s="408" t="s">
        <v>175</v>
      </c>
      <c r="E74" s="408" t="s">
        <v>13</v>
      </c>
      <c r="F74" s="409" t="s">
        <v>17</v>
      </c>
    </row>
    <row r="75" spans="2:12" ht="17" thickBot="1" x14ac:dyDescent="0.25">
      <c r="B75" s="620"/>
      <c r="C75" s="621"/>
      <c r="D75" s="17">
        <f>IF('V9 Calculator'!$F$6="Y"," ",'Data Source'!B138*'V9 Calculator'!N59)</f>
        <v>12</v>
      </c>
      <c r="E75" s="18">
        <f>IF('V9 Calculator'!$F$6="Y"," ",'Data Source'!C138*'V9 Calculator'!N59)</f>
        <v>48</v>
      </c>
      <c r="F75" s="19">
        <f>IF('V9 Calculator'!$F$6="Y"," ",'Data Source'!D138*'V9 Calculator'!N59)</f>
        <v>360</v>
      </c>
    </row>
  </sheetData>
  <sheetProtection algorithmName="SHA-512" hashValue="yqSWfkqZpsIV5kFwSRFVxhASF1/pYcCAlSC+ApUWXQn78dEDwI/oYqWbEvhIBsX9CQU+I/UIx8LFBHtiHD5VxQ==" saltValue="5Q1J/3v5IQXztpOPyYYpoA==" spinCount="100000" sheet="1" objects="1" scenarios="1"/>
  <mergeCells count="72">
    <mergeCell ref="B70:C70"/>
    <mergeCell ref="B73:C75"/>
    <mergeCell ref="B64:K64"/>
    <mergeCell ref="B66:K66"/>
    <mergeCell ref="B58:K58"/>
    <mergeCell ref="B67:K67"/>
    <mergeCell ref="B69:C69"/>
    <mergeCell ref="B60:C60"/>
    <mergeCell ref="D60:K60"/>
    <mergeCell ref="L60:L63"/>
    <mergeCell ref="B61:C61"/>
    <mergeCell ref="D61:K61"/>
    <mergeCell ref="B62:C62"/>
    <mergeCell ref="D62:K62"/>
    <mergeCell ref="B63:C63"/>
    <mergeCell ref="D63:K63"/>
    <mergeCell ref="B51:C51"/>
    <mergeCell ref="B53:C53"/>
    <mergeCell ref="B54:C54"/>
    <mergeCell ref="B56:C56"/>
    <mergeCell ref="B57:K57"/>
    <mergeCell ref="B55:C55"/>
    <mergeCell ref="B52:C52"/>
    <mergeCell ref="L39:L42"/>
    <mergeCell ref="B44:K44"/>
    <mergeCell ref="B46:C46"/>
    <mergeCell ref="B50:C50"/>
    <mergeCell ref="D42:K42"/>
    <mergeCell ref="B47:C47"/>
    <mergeCell ref="B49:C49"/>
    <mergeCell ref="B39:C39"/>
    <mergeCell ref="B40:C40"/>
    <mergeCell ref="B41:C41"/>
    <mergeCell ref="B19:C19"/>
    <mergeCell ref="B20:C20"/>
    <mergeCell ref="B21:C21"/>
    <mergeCell ref="B35:C35"/>
    <mergeCell ref="B30:C30"/>
    <mergeCell ref="B31:C31"/>
    <mergeCell ref="B33:C33"/>
    <mergeCell ref="B34:C34"/>
    <mergeCell ref="B26:C26"/>
    <mergeCell ref="B27:C27"/>
    <mergeCell ref="B29:C29"/>
    <mergeCell ref="B22:C22"/>
    <mergeCell ref="B24:K24"/>
    <mergeCell ref="D20:K20"/>
    <mergeCell ref="B42:C42"/>
    <mergeCell ref="B43:K43"/>
    <mergeCell ref="D39:K39"/>
    <mergeCell ref="D40:K40"/>
    <mergeCell ref="D41:K41"/>
    <mergeCell ref="B32:C32"/>
    <mergeCell ref="D22:K22"/>
    <mergeCell ref="B36:C36"/>
    <mergeCell ref="B37:K37"/>
    <mergeCell ref="B17:K17"/>
    <mergeCell ref="B23:K23"/>
    <mergeCell ref="L19:L22"/>
    <mergeCell ref="D21:K21"/>
    <mergeCell ref="B2:L3"/>
    <mergeCell ref="B7:C7"/>
    <mergeCell ref="B10:C10"/>
    <mergeCell ref="B11:C11"/>
    <mergeCell ref="B16:C16"/>
    <mergeCell ref="B15:C15"/>
    <mergeCell ref="B6:C6"/>
    <mergeCell ref="B13:C13"/>
    <mergeCell ref="B14:C14"/>
    <mergeCell ref="B9:C9"/>
    <mergeCell ref="B12:C12"/>
    <mergeCell ref="D19:K19"/>
  </mergeCells>
  <conditionalFormatting sqref="D49">
    <cfRule type="expression" dxfId="4" priority="5">
      <formula>$D$49&gt;0</formula>
    </cfRule>
  </conditionalFormatting>
  <conditionalFormatting sqref="D75:F75">
    <cfRule type="cellIs" dxfId="3" priority="7" operator="equal">
      <formula>" "</formula>
    </cfRule>
  </conditionalFormatting>
  <conditionalFormatting sqref="E49">
    <cfRule type="expression" dxfId="2" priority="4">
      <formula>$E$49&gt;0</formula>
    </cfRule>
  </conditionalFormatting>
  <conditionalFormatting sqref="F50">
    <cfRule type="expression" dxfId="1" priority="6">
      <formula>$F$50&gt;0</formula>
    </cfRule>
  </conditionalFormatting>
  <conditionalFormatting sqref="H49">
    <cfRule type="expression" dxfId="0" priority="1">
      <formula>$H$49&gt;0</formula>
    </cfRule>
  </conditionalFormatting>
  <pageMargins left="0" right="0" top="0.5" bottom="0.5" header="0.3" footer="0.3"/>
  <pageSetup scale="67" orientation="portrait" horizontalDpi="4294967293" verticalDpi="0" r:id="rId1"/>
  <ignoredErrors>
    <ignoredError sqref="N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DFFE-BB92-4AFA-A2E1-7E112F71B89C}">
  <dimension ref="A1:M40"/>
  <sheetViews>
    <sheetView showGridLines="0" showRowColHeaders="0" workbookViewId="0">
      <selection activeCell="B1" sqref="B1:G2"/>
    </sheetView>
  </sheetViews>
  <sheetFormatPr baseColWidth="10" defaultColWidth="8.83203125" defaultRowHeight="16" x14ac:dyDescent="0.2"/>
  <cols>
    <col min="2" max="2" width="37.1640625" customWidth="1"/>
    <col min="3" max="3" width="9.83203125" customWidth="1"/>
    <col min="4" max="4" width="13.1640625" customWidth="1"/>
    <col min="5" max="5" width="16.5" customWidth="1"/>
    <col min="6" max="6" width="15.6640625" customWidth="1"/>
    <col min="8" max="8" width="9" hidden="1" customWidth="1"/>
    <col min="9" max="11" width="8.83203125" hidden="1" customWidth="1"/>
    <col min="12" max="13" width="8.83203125" customWidth="1"/>
  </cols>
  <sheetData>
    <row r="1" spans="1:13" x14ac:dyDescent="0.2">
      <c r="A1" s="5"/>
      <c r="B1" s="625" t="s">
        <v>235</v>
      </c>
      <c r="C1" s="626"/>
      <c r="D1" s="626"/>
      <c r="E1" s="626"/>
      <c r="F1" s="626"/>
      <c r="G1" s="627"/>
      <c r="H1" s="5"/>
      <c r="I1" s="5"/>
      <c r="J1" s="5"/>
      <c r="K1" s="5"/>
      <c r="L1" s="5"/>
      <c r="M1" s="5"/>
    </row>
    <row r="2" spans="1:13" ht="17" thickBot="1" x14ac:dyDescent="0.25">
      <c r="A2" s="5"/>
      <c r="B2" s="628"/>
      <c r="C2" s="629"/>
      <c r="D2" s="629"/>
      <c r="E2" s="629"/>
      <c r="F2" s="629"/>
      <c r="G2" s="630"/>
      <c r="H2" s="5"/>
      <c r="I2" s="5"/>
      <c r="J2" s="5"/>
      <c r="K2" s="5"/>
      <c r="L2" s="5"/>
      <c r="M2" s="5"/>
    </row>
    <row r="3" spans="1:13" ht="17" thickBo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7" thickBot="1" x14ac:dyDescent="0.25">
      <c r="A4" s="5"/>
      <c r="B4" s="24" t="s">
        <v>152</v>
      </c>
      <c r="C4" s="24">
        <f>'V9 Calculator'!F12</f>
        <v>1</v>
      </c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7" thickBo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8" thickBot="1" x14ac:dyDescent="0.25">
      <c r="A6" s="5"/>
      <c r="B6" s="168" t="s">
        <v>127</v>
      </c>
      <c r="C6" s="169" t="s">
        <v>173</v>
      </c>
      <c r="D6" s="169" t="s">
        <v>176</v>
      </c>
      <c r="E6" s="169" t="s">
        <v>177</v>
      </c>
      <c r="F6" s="170" t="s">
        <v>14</v>
      </c>
      <c r="G6" s="5"/>
      <c r="H6" s="5"/>
      <c r="I6" s="5"/>
      <c r="J6" s="5"/>
      <c r="K6" s="5"/>
      <c r="L6" s="5"/>
      <c r="M6" s="5"/>
    </row>
    <row r="7" spans="1:13" x14ac:dyDescent="0.2">
      <c r="A7" s="5"/>
      <c r="B7" s="54" t="str">
        <f>IF(H7="Y","Manage - Dev  ","Manage - Not Selected ")</f>
        <v xml:space="preserve">Manage - Dev  </v>
      </c>
      <c r="C7" s="131">
        <f>IF(ISERROR(VLOOKUP(B7,MASData,2,FALSE)),0,VLOOKUP(B7,MASData,2,FALSE))</f>
        <v>2</v>
      </c>
      <c r="D7" s="132">
        <f>IF(ISERROR(VLOOKUP(B7,MASData,3,FALSE)),0,VLOOKUP(B7,MASData,3,FALSE))</f>
        <v>18</v>
      </c>
      <c r="E7" s="132">
        <f>IF(ISERROR(VLOOKUP(B7,MASData,4,FALSE)),0,VLOOKUP(B7,MASData,4,FALSE))</f>
        <v>0</v>
      </c>
      <c r="F7" s="171"/>
      <c r="G7" s="5"/>
      <c r="H7" s="5" t="str">
        <f>IF($C$4=0,"N",'V9 Calculator'!F18)</f>
        <v>Y</v>
      </c>
      <c r="I7" s="5" t="s">
        <v>1</v>
      </c>
      <c r="J7" s="5"/>
      <c r="K7" s="5"/>
      <c r="L7" s="5"/>
      <c r="M7" s="5"/>
    </row>
    <row r="8" spans="1:13" x14ac:dyDescent="0.2">
      <c r="A8" s="5"/>
      <c r="B8" s="37" t="str">
        <f>IF(H8="Y","Health - Dev  ","Health - Not Selected ")</f>
        <v xml:space="preserve">Health - Not Selected </v>
      </c>
      <c r="C8" s="133">
        <f>IF(H7="Y",0,IF(ISERROR(VLOOKUP(B8,MASData,2,FALSE)),0,VLOOKUP(B8,MASData,2,FALSE)))</f>
        <v>0</v>
      </c>
      <c r="D8" s="72">
        <f>IF(H7="Y",0,IF(ISERROR(VLOOKUP(B8,MASData,3,FALSE)),0,VLOOKUP(B8,MASData,3,FALSE)))</f>
        <v>0</v>
      </c>
      <c r="E8" s="72">
        <f>IF(H7="Y",0,IF(ISERROR(VLOOKUP(B8,MASData,4,FALSE)),0,VLOOKUP(B8,MASData,4,FALSE)))</f>
        <v>0</v>
      </c>
      <c r="F8" s="172"/>
      <c r="G8" s="5"/>
      <c r="H8" s="5" t="str">
        <f>IF($C$4=0,"N",'V9 Calculator'!F19)</f>
        <v>N</v>
      </c>
      <c r="I8" s="5" t="s">
        <v>9</v>
      </c>
      <c r="J8" s="5"/>
      <c r="K8" s="5"/>
      <c r="L8" s="5"/>
      <c r="M8" s="5"/>
    </row>
    <row r="9" spans="1:13" x14ac:dyDescent="0.2">
      <c r="A9" s="5"/>
      <c r="B9" s="37" t="str">
        <f>IF(H9="Y","Monitor - Dev  ","Monitor - Not Selected ")</f>
        <v xml:space="preserve">Monitor - Not Selected </v>
      </c>
      <c r="C9" s="133">
        <f t="shared" ref="C9:C14" si="0">IF(ISERROR(VLOOKUP(B9,MASData,2,FALSE)),0,VLOOKUP(B9,MASData,2,FALSE))</f>
        <v>0</v>
      </c>
      <c r="D9" s="72">
        <f t="shared" ref="D9:D14" si="1">IF(ISERROR(VLOOKUP(B9,MASData,3,FALSE)),0,VLOOKUP(B9,MASData,3,FALSE))</f>
        <v>0</v>
      </c>
      <c r="E9" s="72">
        <f t="shared" ref="E9:E14" si="2">IF(ISERROR(VLOOKUP(B9,MASData,4,FALSE)),0,VLOOKUP(B9,MASData,4,FALSE))</f>
        <v>0</v>
      </c>
      <c r="F9" s="172"/>
      <c r="G9" s="5"/>
      <c r="H9" s="5" t="str">
        <f>IF($C$4=0,"N",'V9 Calculator'!F20)</f>
        <v>N</v>
      </c>
      <c r="I9" s="5" t="s">
        <v>6</v>
      </c>
      <c r="J9" s="5"/>
      <c r="K9" s="5"/>
      <c r="L9" s="5"/>
      <c r="M9" s="5"/>
    </row>
    <row r="10" spans="1:13" x14ac:dyDescent="0.2">
      <c r="A10" s="5"/>
      <c r="B10" s="37" t="str">
        <f>IF(H10="Y","Predict - Dev  ","Predict - Not Selected ")</f>
        <v xml:space="preserve">Predict - Not Selected </v>
      </c>
      <c r="C10" s="133">
        <f t="shared" si="0"/>
        <v>0</v>
      </c>
      <c r="D10" s="72">
        <f t="shared" si="1"/>
        <v>0</v>
      </c>
      <c r="E10" s="72">
        <f t="shared" si="2"/>
        <v>0</v>
      </c>
      <c r="F10" s="172"/>
      <c r="G10" s="5"/>
      <c r="H10" s="5" t="str">
        <f>IF($C$4=0,"N",'V9 Calculator'!F21)</f>
        <v>N</v>
      </c>
      <c r="I10" s="5" t="s">
        <v>10</v>
      </c>
      <c r="J10" s="5"/>
      <c r="K10" s="5"/>
      <c r="L10" s="5"/>
      <c r="M10" s="5"/>
    </row>
    <row r="11" spans="1:13" x14ac:dyDescent="0.2">
      <c r="A11" s="5"/>
      <c r="B11" s="37" t="str">
        <f>IF(H11="Y","Maximo IT - Dev  ","Maximo IT - Not Selected ")</f>
        <v xml:space="preserve">Maximo IT - Not Selected </v>
      </c>
      <c r="C11" s="133">
        <f>IF(AND(H7="N",H8="N",H11="Y"),IF(ISERROR(VLOOKUP(B11,MASData,2,FALSE)),0,VLOOKUP(B11,MASData,2,FALSE)),0)</f>
        <v>0</v>
      </c>
      <c r="D11" s="72">
        <f>IF(AND(H7="N",H8="N",H11="Y"),IF(ISERROR(VLOOKUP(B11,MASData,3,FALSE)),0,VLOOKUP(B11,MASData,3,FALSE)),0)</f>
        <v>0</v>
      </c>
      <c r="E11" s="72">
        <f>IF(AND(H7="N",H8="N",H11="Y"),IF(ISERROR(VLOOKUP(B11,MASData,4,FALSE)),0,VLOOKUP(B11,MASData,4,FALSE)),0)</f>
        <v>0</v>
      </c>
      <c r="F11" s="173"/>
      <c r="G11" s="5"/>
      <c r="H11" s="5" t="str">
        <f>IF($C$4=0,"N",'V9 Calculator'!F22)</f>
        <v>N</v>
      </c>
      <c r="I11" s="5" t="s">
        <v>239</v>
      </c>
      <c r="J11" s="5"/>
      <c r="K11" s="5"/>
      <c r="L11" s="5"/>
      <c r="M11" s="5"/>
    </row>
    <row r="12" spans="1:13" x14ac:dyDescent="0.2">
      <c r="A12" s="5"/>
      <c r="B12" s="37" t="str">
        <f>IF(H12="Y","Visual Inspection - Dev  ","Visual Inspection - Not Selected ")</f>
        <v xml:space="preserve">Visual Inspection - Dev  </v>
      </c>
      <c r="C12" s="133">
        <f t="shared" si="0"/>
        <v>4</v>
      </c>
      <c r="D12" s="72">
        <f t="shared" si="1"/>
        <v>64</v>
      </c>
      <c r="E12" s="72">
        <f t="shared" si="2"/>
        <v>115</v>
      </c>
      <c r="F12" s="64">
        <f>IF(ISERROR(VLOOKUP(B12,MASData,6,FALSE)),0,VLOOKUP(B12,MASData,6,FALSE))</f>
        <v>1</v>
      </c>
      <c r="G12" s="5"/>
      <c r="H12" s="5" t="str">
        <f>IF($C$4=0,"N",'V9 Calculator'!F23)</f>
        <v>Y</v>
      </c>
      <c r="I12" s="5" t="s">
        <v>18</v>
      </c>
      <c r="J12" s="5"/>
      <c r="K12" s="5"/>
      <c r="L12" s="5"/>
      <c r="M12" s="5"/>
    </row>
    <row r="13" spans="1:13" x14ac:dyDescent="0.2">
      <c r="A13" s="5"/>
      <c r="B13" s="37" t="str">
        <f>IF(H13="Y","Assist - Dev  ","Assist - Not Selected ")</f>
        <v xml:space="preserve">Assist - Not Selected </v>
      </c>
      <c r="C13" s="133">
        <f t="shared" si="0"/>
        <v>0</v>
      </c>
      <c r="D13" s="72">
        <f t="shared" si="1"/>
        <v>0</v>
      </c>
      <c r="E13" s="72">
        <f t="shared" si="2"/>
        <v>0</v>
      </c>
      <c r="F13" s="172"/>
      <c r="G13" s="5"/>
      <c r="H13" s="5" t="str">
        <f>IF($C$4=0,"N",'V9 Calculator'!F24)</f>
        <v>N</v>
      </c>
      <c r="I13" s="5" t="s">
        <v>75</v>
      </c>
      <c r="J13" s="5"/>
      <c r="K13" s="5"/>
      <c r="L13" s="5"/>
      <c r="M13" s="5"/>
    </row>
    <row r="14" spans="1:13" ht="17" thickBot="1" x14ac:dyDescent="0.25">
      <c r="A14" s="5"/>
      <c r="B14" s="40" t="str">
        <f>IF(H14="Y","Optimizer - Dev  ","Optimizer - Not Selected ")</f>
        <v xml:space="preserve">Optimizer - Not Selected </v>
      </c>
      <c r="C14" s="133">
        <f t="shared" si="0"/>
        <v>0</v>
      </c>
      <c r="D14" s="72">
        <f t="shared" si="1"/>
        <v>0</v>
      </c>
      <c r="E14" s="72">
        <f t="shared" si="2"/>
        <v>0</v>
      </c>
      <c r="F14" s="174"/>
      <c r="G14" s="5"/>
      <c r="H14" s="5" t="str">
        <f>IF($C$4=0,"N",'V9 Calculator'!F25)</f>
        <v>N</v>
      </c>
      <c r="I14" s="5" t="s">
        <v>87</v>
      </c>
      <c r="J14" s="5"/>
      <c r="K14" s="5"/>
      <c r="L14" s="5"/>
      <c r="M14" s="5"/>
    </row>
    <row r="15" spans="1:13" ht="17" thickBot="1" x14ac:dyDescent="0.25">
      <c r="A15" s="5"/>
      <c r="B15" s="94" t="s">
        <v>19</v>
      </c>
      <c r="C15" s="134">
        <f>SUM(C7:C14)</f>
        <v>6</v>
      </c>
      <c r="D15" s="134">
        <f>SUM(D7:D14)</f>
        <v>82</v>
      </c>
      <c r="E15" s="134">
        <f>SUM(E7:E14)</f>
        <v>115</v>
      </c>
      <c r="F15" s="68">
        <f>SUM(F7:F14)</f>
        <v>1</v>
      </c>
      <c r="G15" s="5"/>
      <c r="H15" s="5"/>
      <c r="I15" s="5"/>
      <c r="J15" s="5"/>
      <c r="K15" s="5"/>
      <c r="L15" s="5"/>
      <c r="M15" s="5"/>
    </row>
    <row r="16" spans="1:13" ht="17" thickBo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8" thickBot="1" x14ac:dyDescent="0.25">
      <c r="A17" s="5"/>
      <c r="B17" s="168" t="s">
        <v>128</v>
      </c>
      <c r="C17" s="175" t="s">
        <v>173</v>
      </c>
      <c r="D17" s="176" t="s">
        <v>176</v>
      </c>
      <c r="E17" s="175" t="s">
        <v>177</v>
      </c>
      <c r="F17" s="176" t="s">
        <v>178</v>
      </c>
      <c r="G17" s="5"/>
      <c r="H17" s="5"/>
      <c r="I17" s="5"/>
      <c r="J17" s="5"/>
      <c r="K17" s="5"/>
      <c r="L17" s="5"/>
      <c r="M17" s="5"/>
    </row>
    <row r="18" spans="1:13" x14ac:dyDescent="0.2">
      <c r="A18" s="5"/>
      <c r="B18" s="55" t="str">
        <f>IF(OR(H7="Y",H8="Y",H11="Y"),"Manage/Health/IT DB2 - Dev  ","Manage/Health/IT DB2 - Not Selected ")</f>
        <v xml:space="preserve">Manage/Health/IT DB2 - Dev  </v>
      </c>
      <c r="C18" s="132">
        <f>IF('V9 Calculator'!F7="Y",0,IF(ISERROR(VLOOKUP(B18,MASData,2,FALSE)),0,VLOOKUP(B18,MASData,2,FALSE)))</f>
        <v>6</v>
      </c>
      <c r="D18" s="132">
        <f>IF('V9 Calculator'!F7="Y",0,IF(ISERROR(VLOOKUP(B18,MASData,3,FALSE)),0,VLOOKUP(B18,MASData,3,FALSE)))</f>
        <v>24</v>
      </c>
      <c r="E18" s="132">
        <f>IF('V9 Calculator'!F7="Y",0,IF(ISERROR(VLOOKUP(B18,MASData,4,FALSE)),0,VLOOKUP(B18,MASData,4,FALSE)))</f>
        <v>0</v>
      </c>
      <c r="F18" s="131">
        <f>IF(OR('V9 Calculator'!F7="Y",$C$4=0),0,IF('V9 Calculator'!F13="N",IF(ISERROR(VLOOKUP(B18,MASData,5,FALSE)),0,VLOOKUP(B18,MASData,5,FALSE)),'V9 Calculator'!P29))</f>
        <v>256</v>
      </c>
      <c r="G18" s="5"/>
      <c r="H18" s="5"/>
      <c r="I18" s="5"/>
      <c r="J18" s="5"/>
      <c r="K18" s="5"/>
      <c r="L18" s="5"/>
      <c r="M18" s="5"/>
    </row>
    <row r="19" spans="1:13" x14ac:dyDescent="0.2">
      <c r="A19" s="5"/>
      <c r="B19" s="56" t="str">
        <f>IF(H9="Y","Monitor DB2 - Dev  ","Monitor DB2 - Not Selected ")</f>
        <v xml:space="preserve">Monitor DB2 - Not Selected </v>
      </c>
      <c r="C19" s="72">
        <f>IF('V9 Calculator'!F8="Y",0,IF(ISERROR(VLOOKUP(B19,MASData,2,FALSE)),0,VLOOKUP(B19,MASData,2,FALSE)))</f>
        <v>0</v>
      </c>
      <c r="D19" s="72">
        <f>IF('V9 Calculator'!F8="Y",0,IF(ISERROR(VLOOKUP(B19,MASData,3,FALSE)),0,VLOOKUP(B19,MASData,3,FALSE)))</f>
        <v>0</v>
      </c>
      <c r="E19" s="72">
        <f>IF('V9 Calculator'!F8="Y",0,IF(ISERROR(VLOOKUP(B19,MASData,4,FALSE)),0,VLOOKUP(B19,MASData,4,FALSE)))</f>
        <v>0</v>
      </c>
      <c r="F19" s="78">
        <f>IF(OR('V9 Calculator'!F8="Y",$C$4=0),0,IF('V9 Calculator'!F13="N",IF(ISERROR(VLOOKUP(B19,MASData,5,FALSE)),0,VLOOKUP(B19,MASData,5,FALSE)),'V9 Calculator'!P30))</f>
        <v>0</v>
      </c>
      <c r="G19" s="5"/>
      <c r="H19" s="5"/>
      <c r="I19" s="5"/>
      <c r="J19" s="5"/>
      <c r="K19" s="5"/>
      <c r="L19" s="5"/>
      <c r="M19" s="5"/>
    </row>
    <row r="20" spans="1:13" x14ac:dyDescent="0.2">
      <c r="A20" s="5"/>
      <c r="B20" s="56" t="str">
        <f>IF(H7="Y","Manage - (MIF, Rprt, Crontask) + Cognos  ","Manage - Not Selected ")</f>
        <v xml:space="preserve">Manage - (MIF, Rprt, Crontask) + Cognos  </v>
      </c>
      <c r="C20" s="72">
        <f>IF(ISERROR(VLOOKUP(B20,MASData,2,FALSE)),0,VLOOKUP(B20,MASData,2,FALSE))+IF(OR($C$4=0,H7="N"),0,IF(ISERROR(VLOOKUP("Cognos",MASData,2,FALSE)),0,VLOOKUP("Cognos",MASData,2,FALSE)))</f>
        <v>0</v>
      </c>
      <c r="D20" s="72">
        <f>IF(ISERROR(VLOOKUP(B20,MASData,3,FALSE)),0,VLOOKUP(B20,MASData,3,FALSE))+IF(OR($C$4=0,H7="N"),0,IF(ISERROR(VLOOKUP("Cognos",MASData,3,FALSE)),0,VLOOKUP("Cognos",MASData,3,FALSE)))</f>
        <v>0</v>
      </c>
      <c r="E20" s="72">
        <f>IF(ISERROR(VLOOKUP(B20,MASData,4,FALSE)),0,VLOOKUP(B20,MASData,4,FALSE))+IF(OR($C$4=0,H7="N"),0,IF(ISERROR(VLOOKUP("Cognos",MASData,4,FALSE)),0,VLOOKUP("Cognos",MASData,4,FALSE)))</f>
        <v>0</v>
      </c>
      <c r="F20" s="78">
        <f>IF(ISERROR(VLOOKUP(B20,MASData,5,FALSE)),0,VLOOKUP(B20,MASData,5,FALSE))+IF(OR($C$4=0,H7="N"),0,IF(ISERROR(VLOOKUP("Cognos",MASData,5,FALSE)),0,VLOOKUP("Cognos",MASData,5,FALSE)))</f>
        <v>0</v>
      </c>
      <c r="G20" s="5"/>
      <c r="H20" s="5"/>
      <c r="I20" s="5"/>
      <c r="J20" s="5"/>
      <c r="K20" s="5"/>
      <c r="L20" s="5"/>
      <c r="M20" s="5"/>
    </row>
    <row r="21" spans="1:13" x14ac:dyDescent="0.2">
      <c r="A21" s="5"/>
      <c r="B21" s="56" t="str">
        <f>IF(H7="Y","Manage - Industry Solutions  ","Manage - Not Selected ")</f>
        <v xml:space="preserve">Manage - Industry Solutions  </v>
      </c>
      <c r="C21" s="72">
        <f>IF(AND(H7="Y",OR(H21="Y",I21="Y",J21="Y",K21="Y")),IF(ISERROR(VLOOKUP(B21,MASData,2,FALSE)),0,VLOOKUP(B21,MASData,2,FALSE)),0)</f>
        <v>0</v>
      </c>
      <c r="D21" s="72">
        <f>IF(AND(H7="Y",OR(H21="Y",I21="Y",J21="Y",K21="Y")),IF(ISERROR(VLOOKUP(B21,MASData,3,FALSE)),0,VLOOKUP(B21,MASData,3,FALSE)),0)</f>
        <v>0</v>
      </c>
      <c r="E21" s="72">
        <f>IF(AND(H7="Y",OR(H21="Y",I21="Y",J21="Y",K21="Y")),IF(ISERROR(VLOOKUP(B21,MASData,4,FALSE)),0,VLOOKUP(B21,MASData,4,FALSE)),0)</f>
        <v>0</v>
      </c>
      <c r="F21" s="78">
        <f>IF(AND(H7="Y",OR(H21="Y",I21="Y",J21="Y",K21="Y")),IF(ISERROR(VLOOKUP(B21,MASData,5,FALSE)),0,VLOOKUP(B21,MASData,5,FALSE)),0)</f>
        <v>0</v>
      </c>
      <c r="G21" s="5"/>
      <c r="H21" s="5" t="str">
        <f>IF('V9 Calculator'!G35="Y","Y","N")</f>
        <v>N</v>
      </c>
      <c r="I21" s="5" t="str">
        <f>IF('V9 Calculator'!H35="Y","Y","N")</f>
        <v>N</v>
      </c>
      <c r="J21" s="5" t="str">
        <f>IF('V9 Calculator'!I35="Y","Y","N")</f>
        <v>N</v>
      </c>
      <c r="K21" s="5" t="str">
        <f>IF('V9 Calculator'!J34="Y","Y","N")</f>
        <v>N</v>
      </c>
      <c r="L21" s="5"/>
      <c r="M21" s="5"/>
    </row>
    <row r="22" spans="1:13" x14ac:dyDescent="0.2">
      <c r="A22" s="5"/>
      <c r="B22" s="56" t="str">
        <f>IF(H10="Y","Watson Studio - Dev  ","Watson Studio - Not Selected ")</f>
        <v xml:space="preserve">Watson Studio - Not Selected </v>
      </c>
      <c r="C22" s="72">
        <f t="shared" ref="C22:C26" si="3">IF(ISERROR(VLOOKUP(B22,MASData,2,FALSE)),0,VLOOKUP(B22,MASData,2,FALSE))</f>
        <v>0</v>
      </c>
      <c r="D22" s="72">
        <f t="shared" ref="D22:D26" si="4">IF(ISERROR(VLOOKUP(B22,MASData,3,FALSE)),0,VLOOKUP(B22,MASData,3,FALSE))</f>
        <v>0</v>
      </c>
      <c r="E22" s="72">
        <f t="shared" ref="E22:E26" si="5">IF(ISERROR(VLOOKUP(B22,MASData,4,FALSE)),0,VLOOKUP(B22,MASData,4,FALSE))</f>
        <v>0</v>
      </c>
      <c r="F22" s="133">
        <f t="shared" ref="F22:F26" si="6">IF(ISERROR(VLOOKUP(B22,MASData,5,FALSE)),0,VLOOKUP(B22,MASData,5,FALSE))</f>
        <v>0</v>
      </c>
      <c r="G22" s="5"/>
      <c r="H22" s="5"/>
      <c r="I22" s="5"/>
      <c r="J22" s="5"/>
      <c r="K22" s="5"/>
      <c r="L22" s="5"/>
      <c r="M22" s="5"/>
    </row>
    <row r="23" spans="1:13" x14ac:dyDescent="0.2">
      <c r="A23" s="5"/>
      <c r="B23" s="56" t="str">
        <f>IF(H10="Y","Watson ML - Dev  ","Watson ML - Not Selected ")</f>
        <v xml:space="preserve">Watson ML - Not Selected </v>
      </c>
      <c r="C23" s="72">
        <f t="shared" si="3"/>
        <v>0</v>
      </c>
      <c r="D23" s="72">
        <f t="shared" si="4"/>
        <v>0</v>
      </c>
      <c r="E23" s="72">
        <f t="shared" si="5"/>
        <v>0</v>
      </c>
      <c r="F23" s="133">
        <f t="shared" si="6"/>
        <v>0</v>
      </c>
      <c r="G23" s="5"/>
      <c r="H23" s="5"/>
      <c r="I23" s="5"/>
      <c r="J23" s="5"/>
      <c r="K23" s="5"/>
      <c r="L23" s="5"/>
      <c r="M23" s="5"/>
    </row>
    <row r="24" spans="1:13" x14ac:dyDescent="0.2">
      <c r="A24" s="5"/>
      <c r="B24" s="56" t="str">
        <f>IF(H9="Y","Kafka - Dev  ","Kafka - Not Selected ")</f>
        <v xml:space="preserve">Kafka - Not Selected </v>
      </c>
      <c r="C24" s="72">
        <f t="shared" si="3"/>
        <v>0</v>
      </c>
      <c r="D24" s="72">
        <f t="shared" si="4"/>
        <v>0</v>
      </c>
      <c r="E24" s="72">
        <f t="shared" si="5"/>
        <v>0</v>
      </c>
      <c r="F24" s="133">
        <f t="shared" si="6"/>
        <v>0</v>
      </c>
      <c r="G24" s="5"/>
      <c r="H24" s="5"/>
      <c r="I24" s="5"/>
      <c r="J24" s="5"/>
      <c r="K24" s="5"/>
      <c r="L24" s="5"/>
      <c r="M24" s="5"/>
    </row>
    <row r="25" spans="1:13" x14ac:dyDescent="0.2">
      <c r="A25" s="5"/>
      <c r="B25" s="56" t="str">
        <f>IF(H13="Y","CouchDB - Dev  ","CouchDB - Not Selected ")</f>
        <v xml:space="preserve">CouchDB - Not Selected </v>
      </c>
      <c r="C25" s="72">
        <f t="shared" si="3"/>
        <v>0</v>
      </c>
      <c r="D25" s="72">
        <f t="shared" si="4"/>
        <v>0</v>
      </c>
      <c r="E25" s="72">
        <f t="shared" si="5"/>
        <v>0</v>
      </c>
      <c r="F25" s="133">
        <f t="shared" si="6"/>
        <v>0</v>
      </c>
      <c r="G25" s="5"/>
      <c r="H25" s="5"/>
      <c r="I25" s="5"/>
      <c r="J25" s="5"/>
      <c r="K25" s="5"/>
      <c r="L25" s="5"/>
      <c r="M25" s="5"/>
    </row>
    <row r="26" spans="1:13" ht="17" thickBot="1" x14ac:dyDescent="0.25">
      <c r="A26" s="5"/>
      <c r="B26" s="57" t="str">
        <f>IF(AND(COUNTIF(H7:H14,"Y")&gt;0,$C$4&gt;0),"MongoDB - Dev  ","MongoDB - Not Required")</f>
        <v xml:space="preserve">MongoDB - Dev  </v>
      </c>
      <c r="C26" s="81">
        <f t="shared" si="3"/>
        <v>1.5</v>
      </c>
      <c r="D26" s="81">
        <f t="shared" si="4"/>
        <v>3</v>
      </c>
      <c r="E26" s="81">
        <f t="shared" si="5"/>
        <v>20</v>
      </c>
      <c r="F26" s="85">
        <f t="shared" si="6"/>
        <v>0</v>
      </c>
      <c r="G26" s="5"/>
      <c r="H26" s="5"/>
      <c r="I26" s="5"/>
      <c r="J26" s="5"/>
      <c r="K26" s="5"/>
      <c r="L26" s="5"/>
      <c r="M26" s="5"/>
    </row>
    <row r="27" spans="1:13" ht="17" thickBot="1" x14ac:dyDescent="0.25">
      <c r="A27" s="5"/>
      <c r="B27" s="94" t="s">
        <v>150</v>
      </c>
      <c r="C27" s="82">
        <f>SUM(C18:C26)</f>
        <v>7.5</v>
      </c>
      <c r="D27" s="82">
        <f>SUM(D18:D26)</f>
        <v>27</v>
      </c>
      <c r="E27" s="82">
        <f>SUM(E18:E26)</f>
        <v>20</v>
      </c>
      <c r="F27" s="82">
        <f>SUM(F18:F26)</f>
        <v>256</v>
      </c>
      <c r="G27" s="5"/>
      <c r="H27" s="5"/>
      <c r="I27" s="5"/>
      <c r="J27" s="5"/>
      <c r="K27" s="5"/>
      <c r="L27" s="5"/>
      <c r="M27" s="5"/>
    </row>
    <row r="28" spans="1:13" ht="17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8" thickBot="1" x14ac:dyDescent="0.25">
      <c r="A29" s="5"/>
      <c r="B29" s="168" t="s">
        <v>138</v>
      </c>
      <c r="C29" s="175" t="s">
        <v>173</v>
      </c>
      <c r="D29" s="169" t="s">
        <v>176</v>
      </c>
      <c r="E29" s="169" t="s">
        <v>177</v>
      </c>
      <c r="F29" s="176" t="s">
        <v>178</v>
      </c>
      <c r="G29" s="5"/>
      <c r="H29" s="5"/>
      <c r="I29" s="5"/>
      <c r="J29" s="5"/>
      <c r="K29" s="5"/>
      <c r="L29" s="5"/>
      <c r="M29" s="5"/>
    </row>
    <row r="30" spans="1:13" x14ac:dyDescent="0.2">
      <c r="A30" s="5"/>
      <c r="B30" s="52" t="str">
        <f>IF(C4=0,"MAS Core - Not Selected",'V9 Calculator'!L41)</f>
        <v xml:space="preserve">MAS Core  </v>
      </c>
      <c r="C30" s="75">
        <f>IF(ISERROR(VLOOKUP(B30,MASData,2,FALSE)),0,VLOOKUP(B30,MASData,2,FALSE))</f>
        <v>2</v>
      </c>
      <c r="D30" s="76">
        <f>IF(ISERROR(VLOOKUP(B30,MASData,3,FALSE)),0,VLOOKUP(B30,MASData,3,FALSE))</f>
        <v>2</v>
      </c>
      <c r="E30" s="76">
        <f>IF(ISERROR(VLOOKUP(B30,MASData,4,FALSE)),0,VLOOKUP(B30,MASData,4,FALSE))</f>
        <v>20</v>
      </c>
      <c r="F30" s="76">
        <f>IF(ISERROR(VLOOKUP(B30,MASData,5,FALSE)),0,VLOOKUP(B30,MASData,5,FALSE))</f>
        <v>0</v>
      </c>
      <c r="G30" s="5"/>
      <c r="H30" s="5"/>
      <c r="I30" s="5"/>
      <c r="J30" s="5"/>
      <c r="K30" s="5"/>
      <c r="L30" s="5"/>
      <c r="M30" s="5"/>
    </row>
    <row r="31" spans="1:13" x14ac:dyDescent="0.2">
      <c r="A31" s="5"/>
      <c r="B31" s="53" t="str">
        <f>IF(C4=0,"OpenShift Worker Nodes - Not Selected",'V9 Calculator'!L42)</f>
        <v xml:space="preserve">OpenShift Worker Nodes - Xsmall/Min  </v>
      </c>
      <c r="C31" s="77">
        <f>IF(ISERROR(VLOOKUP(B31,MASData,2,FALSE)),0,VLOOKUP(B31,MASData,2,FALSE))</f>
        <v>4</v>
      </c>
      <c r="D31" s="78">
        <f>IF(ISERROR(VLOOKUP(B31,MASData,3,FALSE)),0,VLOOKUP(B31,MASData,3,FALSE))</f>
        <v>16</v>
      </c>
      <c r="E31" s="77">
        <f>IF(ISERROR(VLOOKUP(B31,MASData,4,FALSE)),0,VLOOKUP(B31,MASData,4,FALSE))</f>
        <v>240</v>
      </c>
      <c r="F31" s="77">
        <f>IF(ISERROR(VLOOKUP(B31,MASData,5,FALSE)),0,VLOOKUP(B31,MASData,5,FALSE))</f>
        <v>0</v>
      </c>
      <c r="G31" s="5"/>
      <c r="H31" s="5"/>
      <c r="I31" s="5"/>
      <c r="J31" s="5"/>
      <c r="K31" s="5"/>
      <c r="L31" s="5"/>
      <c r="M31" s="5"/>
    </row>
    <row r="32" spans="1:13" ht="17" thickBot="1" x14ac:dyDescent="0.25">
      <c r="A32" s="5"/>
      <c r="B32" s="53" t="str">
        <f>IF(C4=0,"CP4D Base - Not Selected",'V9 Calculator'!L43)</f>
        <v xml:space="preserve">CP4D Base  </v>
      </c>
      <c r="C32" s="72">
        <f>IF(OR($H$7="Y",$H$8="Y",$H$9="Y",$H$10="Y",$H$11="Y",$H$13="Y"),IF(ISERROR(VLOOKUP(B32,MASData,2,FALSE)),0,VLOOKUP(B32,MASData,2,FALSE)),0)</f>
        <v>14</v>
      </c>
      <c r="D32" s="72">
        <f>IF(OR($H$7="Y",$H$8="Y",$H$9="Y",$H$10="Y",$H$11="Y",$B$13="Y"),IF(ISERROR(VLOOKUP(B32,MASData,3,FALSE)),0,VLOOKUP(B32,MASData,3,FALSE)),0)</f>
        <v>10</v>
      </c>
      <c r="E32" s="72">
        <f>IF(OR($H$7="Y",$H$8="Y",$H$9="Y",$H$10="Y",$H$11="Y",$B$13="Y"),IF(ISERROR(VLOOKUP(B32,MASData,4,FALSE)),0,VLOOKUP(B32,MASData,4,FALSE)),0)</f>
        <v>655</v>
      </c>
      <c r="F32" s="72">
        <f>IF(OR($H$7="Y",$H$8="Y",$H$9="Y",$H$10="Y",$H$11="Y",$B$13="Y"),IF(ISERROR(VLOOKUP(B32,MASData,5,FALSE)),0,VLOOKUP(B32,MASData,5,FALSE)),0)</f>
        <v>0</v>
      </c>
      <c r="G32" s="177"/>
      <c r="H32" s="5"/>
      <c r="I32" s="5"/>
      <c r="J32" s="5"/>
      <c r="K32" s="5"/>
      <c r="L32" s="5"/>
      <c r="M32" s="5"/>
    </row>
    <row r="33" spans="1:13" ht="17" thickBot="1" x14ac:dyDescent="0.25">
      <c r="A33" s="5"/>
      <c r="B33" s="178" t="s">
        <v>151</v>
      </c>
      <c r="C33" s="134">
        <f>SUM(C30:C32)</f>
        <v>20</v>
      </c>
      <c r="D33" s="134">
        <f>SUM(D30:D32)</f>
        <v>28</v>
      </c>
      <c r="E33" s="134">
        <f>SUM(E30:E32)</f>
        <v>915</v>
      </c>
      <c r="F33" s="134">
        <f>SUM(F30:F32)</f>
        <v>0</v>
      </c>
      <c r="G33" s="5"/>
      <c r="H33" s="5"/>
      <c r="I33" s="5"/>
      <c r="J33" s="5"/>
      <c r="K33" s="5"/>
      <c r="L33" s="5"/>
      <c r="M33" s="5"/>
    </row>
    <row r="34" spans="1:13" ht="17" thickBo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7" thickBot="1" x14ac:dyDescent="0.25">
      <c r="A35" s="5"/>
      <c r="B35" s="50" t="s">
        <v>153</v>
      </c>
      <c r="C35" s="176" t="s">
        <v>173</v>
      </c>
      <c r="D35" s="169" t="s">
        <v>176</v>
      </c>
      <c r="E35" s="169" t="s">
        <v>177</v>
      </c>
      <c r="F35" s="176" t="s">
        <v>178</v>
      </c>
      <c r="G35" s="169" t="s">
        <v>146</v>
      </c>
      <c r="H35" s="5"/>
      <c r="I35" s="5"/>
      <c r="J35" s="5"/>
      <c r="K35" s="5"/>
      <c r="L35" s="5"/>
      <c r="M35" s="5"/>
    </row>
    <row r="36" spans="1:13" ht="17" thickBot="1" x14ac:dyDescent="0.25">
      <c r="A36" s="5"/>
      <c r="B36" s="179" t="s">
        <v>154</v>
      </c>
      <c r="C36" s="135">
        <f>C33+C27+C15</f>
        <v>33.5</v>
      </c>
      <c r="D36" s="135">
        <f>D33+D27+D15</f>
        <v>137</v>
      </c>
      <c r="E36" s="135">
        <f>E33+E27+E15</f>
        <v>1050</v>
      </c>
      <c r="F36" s="135">
        <f>F33+F27</f>
        <v>256</v>
      </c>
      <c r="G36" s="135">
        <f>F15</f>
        <v>1</v>
      </c>
      <c r="H36" s="5"/>
      <c r="I36" s="5"/>
      <c r="J36" s="5"/>
      <c r="K36" s="5"/>
      <c r="L36" s="5"/>
      <c r="M36" s="5"/>
    </row>
    <row r="37" spans="1:13" ht="17" thickBo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7" thickBot="1" x14ac:dyDescent="0.25">
      <c r="A38" s="5"/>
      <c r="B38" s="180" t="str">
        <f>"Total Dev Cluster Requirements * "&amp;C4</f>
        <v>Total Dev Cluster Requirements * 1</v>
      </c>
      <c r="C38" s="139">
        <f>C36*$C$4</f>
        <v>33.5</v>
      </c>
      <c r="D38" s="139">
        <f>D36*$C$4</f>
        <v>137</v>
      </c>
      <c r="E38" s="139">
        <f>E36*$C$4</f>
        <v>1050</v>
      </c>
      <c r="F38" s="139">
        <f>F36*$C$4</f>
        <v>256</v>
      </c>
      <c r="G38" s="139">
        <f>G36*$C$4</f>
        <v>1</v>
      </c>
      <c r="H38" s="5"/>
      <c r="I38" s="5"/>
      <c r="J38" s="5"/>
      <c r="K38" s="5"/>
      <c r="L38" s="5"/>
      <c r="M38" s="5"/>
    </row>
    <row r="39" spans="1:13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x14ac:dyDescent="0.2">
      <c r="B40" s="5"/>
      <c r="C40" s="5"/>
      <c r="D40" s="5"/>
      <c r="E40" s="5"/>
      <c r="F40" s="5"/>
      <c r="G40" s="5"/>
    </row>
  </sheetData>
  <sheetProtection algorithmName="SHA-512" hashValue="5Pu+smjv/D7leTFHzfP2sT5yLfeRa2VBOWdzdoqHC2ytbDz5/zgjo8qJYHes0fOnCNxnH8t1J/470OaQW1+8mQ==" saltValue="wSrXPMy3Xp7TrDHg0R78NA==" spinCount="100000" sheet="1" objects="1" scenarios="1"/>
  <mergeCells count="1">
    <mergeCell ref="B1:G2"/>
  </mergeCells>
  <conditionalFormatting sqref="B8:B14 B18:E26">
    <cfRule type="expression" dxfId="34" priority="9">
      <formula>$F$18="N"</formula>
    </cfRule>
  </conditionalFormatting>
  <conditionalFormatting sqref="B7:E7">
    <cfRule type="expression" dxfId="33" priority="40">
      <formula>$F$18="N"</formula>
    </cfRule>
  </conditionalFormatting>
  <conditionalFormatting sqref="C10">
    <cfRule type="expression" dxfId="32" priority="43">
      <formula>$M$22="Error"</formula>
    </cfRule>
  </conditionalFormatting>
  <conditionalFormatting sqref="C12">
    <cfRule type="expression" dxfId="31" priority="277">
      <formula>#REF!="N"</formula>
    </cfRule>
  </conditionalFormatting>
  <conditionalFormatting sqref="C13">
    <cfRule type="expression" dxfId="30" priority="34">
      <formula>$F$24="N"</formula>
    </cfRule>
  </conditionalFormatting>
  <conditionalFormatting sqref="C14">
    <cfRule type="expression" dxfId="29" priority="33">
      <formula>$F$25="N"</formula>
    </cfRule>
  </conditionalFormatting>
  <conditionalFormatting sqref="C8:E8">
    <cfRule type="expression" dxfId="28" priority="39">
      <formula>$F$19="N"</formula>
    </cfRule>
  </conditionalFormatting>
  <conditionalFormatting sqref="C9:E9">
    <cfRule type="expression" dxfId="27" priority="38">
      <formula>$F$20="N"</formula>
    </cfRule>
    <cfRule type="expression" dxfId="26" priority="48">
      <formula>$M$20="Error"</formula>
    </cfRule>
  </conditionalFormatting>
  <conditionalFormatting sqref="C10:E10">
    <cfRule type="expression" dxfId="25" priority="37">
      <formula>$F$22="N"</formula>
    </cfRule>
  </conditionalFormatting>
  <conditionalFormatting sqref="C11:E11">
    <cfRule type="expression" dxfId="24" priority="36">
      <formula>$F$23="N"</formula>
    </cfRule>
    <cfRule type="expression" dxfId="23" priority="47">
      <formula>$M$23="Error"</formula>
    </cfRule>
  </conditionalFormatting>
  <conditionalFormatting sqref="D10">
    <cfRule type="expression" dxfId="22" priority="45">
      <formula>$N$22="Error"</formula>
    </cfRule>
  </conditionalFormatting>
  <conditionalFormatting sqref="D11">
    <cfRule type="expression" dxfId="21" priority="41">
      <formula>$N$23="Error"</formula>
    </cfRule>
  </conditionalFormatting>
  <conditionalFormatting sqref="D12:E14">
    <cfRule type="expression" dxfId="20" priority="29">
      <formula>$F$20="N"</formula>
    </cfRule>
    <cfRule type="expression" dxfId="19" priority="30">
      <formula>$M$20="Error"</formula>
    </cfRule>
  </conditionalFormatting>
  <conditionalFormatting sqref="E10">
    <cfRule type="expression" dxfId="18" priority="46">
      <formula>$O$22="Error"</formula>
    </cfRule>
  </conditionalFormatting>
  <conditionalFormatting sqref="E11">
    <cfRule type="expression" dxfId="17" priority="42">
      <formula>$O$23="Error"</formula>
    </cfRule>
  </conditionalFormatting>
  <conditionalFormatting sqref="F12">
    <cfRule type="expression" dxfId="16" priority="4">
      <formula>$F$20="N"</formula>
    </cfRule>
    <cfRule type="expression" dxfId="15" priority="5">
      <formula>$M$20="Error"</formula>
    </cfRule>
  </conditionalFormatting>
  <conditionalFormatting sqref="F18">
    <cfRule type="expression" dxfId="14" priority="1">
      <formula>$F$18="N"</formula>
    </cfRule>
  </conditionalFormatting>
  <conditionalFormatting sqref="F19">
    <cfRule type="expression" dxfId="13" priority="25">
      <formula>$F$20="N"</formula>
    </cfRule>
  </conditionalFormatting>
  <conditionalFormatting sqref="F20:F21">
    <cfRule type="expression" dxfId="12" priority="24">
      <formula>$F$18="N"</formula>
    </cfRule>
  </conditionalFormatting>
  <conditionalFormatting sqref="F22">
    <cfRule type="expression" dxfId="11" priority="17">
      <formula>AND($F$22="N",$F$23="N")</formula>
    </cfRule>
    <cfRule type="expression" dxfId="10" priority="23">
      <formula>OR($M$22="Error",$M$23="Error")</formula>
    </cfRule>
  </conditionalFormatting>
  <conditionalFormatting sqref="F22:F26">
    <cfRule type="expression" dxfId="9" priority="50">
      <formula>$M$20="Error"</formula>
    </cfRule>
  </conditionalFormatting>
  <conditionalFormatting sqref="F23">
    <cfRule type="expression" dxfId="8" priority="16">
      <formula>$F$22="N"</formula>
    </cfRule>
    <cfRule type="expression" dxfId="7" priority="22">
      <formula>$M$22="Error"</formula>
    </cfRule>
  </conditionalFormatting>
  <conditionalFormatting sqref="F24">
    <cfRule type="expression" dxfId="6" priority="20">
      <formula>$F$20="N"</formula>
    </cfRule>
  </conditionalFormatting>
  <conditionalFormatting sqref="F25:F26">
    <cfRule type="expression" dxfId="5" priority="6">
      <formula>$F$24="N"</formula>
    </cfRule>
  </conditionalFormatting>
  <pageMargins left="0.7" right="0.7" top="0.75" bottom="0.75" header="0.3" footer="0.3"/>
  <pageSetup orientation="portrait" horizontalDpi="0" verticalDpi="0"/>
  <ignoredErrors>
    <ignoredError sqref="C8:E8 C11:E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CA20-74C3-4444-A496-65777A2FA44F}">
  <sheetPr codeName="Sheet2"/>
  <dimension ref="A1:T29"/>
  <sheetViews>
    <sheetView showGridLines="0" showRowColHeaders="0" workbookViewId="0">
      <selection activeCell="D14" sqref="D14"/>
    </sheetView>
  </sheetViews>
  <sheetFormatPr baseColWidth="10" defaultColWidth="11" defaultRowHeight="16" x14ac:dyDescent="0.2"/>
  <cols>
    <col min="1" max="1" width="7.5" customWidth="1"/>
    <col min="2" max="2" width="2.83203125" hidden="1" customWidth="1"/>
    <col min="3" max="3" width="27" customWidth="1"/>
    <col min="4" max="4" width="13.33203125" customWidth="1"/>
    <col min="5" max="5" width="34.1640625" customWidth="1"/>
    <col min="6" max="6" width="15.5" hidden="1" customWidth="1"/>
    <col min="7" max="11" width="10.83203125" hidden="1" customWidth="1"/>
    <col min="12" max="19" width="0" hidden="1" customWidth="1"/>
  </cols>
  <sheetData>
    <row r="1" spans="1:20" x14ac:dyDescent="0.2">
      <c r="A1" s="5"/>
      <c r="B1" s="5"/>
      <c r="C1" s="632" t="s">
        <v>48</v>
      </c>
      <c r="D1" s="633"/>
      <c r="E1" s="634"/>
      <c r="F1" s="5"/>
      <c r="G1" s="5"/>
      <c r="H1" s="5"/>
      <c r="I1" s="5"/>
      <c r="J1" s="5"/>
      <c r="K1" s="5"/>
      <c r="L1" s="5"/>
      <c r="M1" s="632" t="s">
        <v>48</v>
      </c>
      <c r="N1" s="633"/>
      <c r="O1" s="634"/>
      <c r="P1" s="5"/>
      <c r="Q1" s="5"/>
      <c r="R1" s="5"/>
      <c r="S1" s="5"/>
      <c r="T1" s="5"/>
    </row>
    <row r="2" spans="1:20" ht="17" thickBot="1" x14ac:dyDescent="0.25">
      <c r="A2" s="5"/>
      <c r="B2" s="5"/>
      <c r="C2" s="635"/>
      <c r="D2" s="636"/>
      <c r="E2" s="637"/>
      <c r="F2" s="5"/>
      <c r="G2" s="5"/>
      <c r="H2" s="5"/>
      <c r="I2" s="5"/>
      <c r="J2" s="5"/>
      <c r="K2" s="5"/>
      <c r="L2" s="5"/>
      <c r="M2" s="635"/>
      <c r="N2" s="636"/>
      <c r="O2" s="637"/>
      <c r="P2" s="5"/>
      <c r="Q2" s="5"/>
      <c r="R2" s="5"/>
      <c r="S2" s="5"/>
      <c r="T2" s="5"/>
    </row>
    <row r="3" spans="1:20" ht="17" thickBot="1" x14ac:dyDescent="0.25">
      <c r="A3" s="5"/>
      <c r="B3" s="5"/>
      <c r="C3" s="631" t="s">
        <v>46</v>
      </c>
      <c r="D3" s="631"/>
      <c r="E3" s="631"/>
      <c r="F3" s="5"/>
      <c r="G3" s="5"/>
      <c r="H3" s="5"/>
      <c r="I3" s="5"/>
      <c r="J3" s="5"/>
      <c r="K3" s="5">
        <v>20</v>
      </c>
      <c r="L3" s="375"/>
      <c r="M3" s="631" t="s">
        <v>46</v>
      </c>
      <c r="N3" s="631"/>
      <c r="O3" s="631"/>
      <c r="P3" s="5"/>
      <c r="Q3" s="5"/>
      <c r="R3" s="5"/>
      <c r="S3" s="5"/>
      <c r="T3" s="5"/>
    </row>
    <row r="4" spans="1:20" x14ac:dyDescent="0.2">
      <c r="A4" s="5"/>
      <c r="B4" s="5"/>
      <c r="C4" s="376" t="s">
        <v>29</v>
      </c>
      <c r="D4" s="1">
        <v>2</v>
      </c>
      <c r="E4" s="376"/>
      <c r="F4" s="5"/>
      <c r="G4" s="5"/>
      <c r="H4" s="5"/>
      <c r="I4" s="5"/>
      <c r="J4" s="5"/>
      <c r="K4" s="5">
        <v>5</v>
      </c>
      <c r="L4" s="378"/>
      <c r="M4" s="376" t="s">
        <v>29</v>
      </c>
      <c r="N4" s="377">
        <v>5</v>
      </c>
      <c r="O4" s="376" t="s">
        <v>52</v>
      </c>
      <c r="P4" s="5"/>
      <c r="Q4" s="5"/>
      <c r="R4" s="5"/>
      <c r="S4" s="5"/>
      <c r="T4" s="5"/>
    </row>
    <row r="5" spans="1:20" x14ac:dyDescent="0.2">
      <c r="A5" s="5"/>
      <c r="B5" s="5"/>
      <c r="C5" s="20" t="s">
        <v>37</v>
      </c>
      <c r="D5" s="2">
        <v>1</v>
      </c>
      <c r="E5" s="20"/>
      <c r="F5" s="5" t="s">
        <v>59</v>
      </c>
      <c r="G5" s="5"/>
      <c r="H5" s="5"/>
      <c r="I5" s="5"/>
      <c r="J5" s="5"/>
      <c r="K5" s="5">
        <v>750</v>
      </c>
      <c r="L5" s="378"/>
      <c r="M5" s="20" t="s">
        <v>37</v>
      </c>
      <c r="N5" s="379">
        <v>25</v>
      </c>
      <c r="O5" s="20"/>
      <c r="P5" s="5"/>
      <c r="Q5" s="5"/>
      <c r="R5" s="5"/>
      <c r="S5" s="5"/>
      <c r="T5" s="5"/>
    </row>
    <row r="6" spans="1:20" x14ac:dyDescent="0.2">
      <c r="A6" s="5"/>
      <c r="B6" s="5"/>
      <c r="C6" s="20" t="s">
        <v>30</v>
      </c>
      <c r="D6" s="2">
        <v>40</v>
      </c>
      <c r="E6" s="20"/>
      <c r="F6" s="5" t="s">
        <v>60</v>
      </c>
      <c r="G6" s="5" t="s">
        <v>49</v>
      </c>
      <c r="H6" s="5"/>
      <c r="I6" s="5" t="s">
        <v>51</v>
      </c>
      <c r="J6" s="5"/>
      <c r="K6" s="5">
        <v>50</v>
      </c>
      <c r="L6" s="5"/>
      <c r="M6" s="20" t="s">
        <v>30</v>
      </c>
      <c r="N6" s="379">
        <v>60</v>
      </c>
      <c r="O6" s="20" t="s">
        <v>53</v>
      </c>
      <c r="P6" s="5"/>
      <c r="Q6" s="5"/>
      <c r="R6" s="5"/>
      <c r="S6" s="5"/>
      <c r="T6" s="5"/>
    </row>
    <row r="7" spans="1:20" x14ac:dyDescent="0.2">
      <c r="A7" s="5"/>
      <c r="B7" s="5"/>
      <c r="C7" s="20" t="s">
        <v>39</v>
      </c>
      <c r="D7" s="2">
        <v>15</v>
      </c>
      <c r="E7" s="20"/>
      <c r="F7" s="5" t="s">
        <v>61</v>
      </c>
      <c r="G7" s="5">
        <f>'V9 Calculator'!J19</f>
        <v>0</v>
      </c>
      <c r="H7" s="5"/>
      <c r="I7" s="5">
        <f>G7/D7*D5</f>
        <v>0</v>
      </c>
      <c r="J7" s="5"/>
      <c r="K7" s="5">
        <v>24</v>
      </c>
      <c r="L7" s="378"/>
      <c r="M7" s="20" t="s">
        <v>39</v>
      </c>
      <c r="N7" s="379">
        <v>10</v>
      </c>
      <c r="O7" s="20" t="s">
        <v>57</v>
      </c>
      <c r="P7" s="5"/>
      <c r="Q7" s="5"/>
      <c r="R7" s="5"/>
      <c r="S7" s="5"/>
      <c r="T7" s="5"/>
    </row>
    <row r="8" spans="1:20" x14ac:dyDescent="0.2">
      <c r="A8" s="5"/>
      <c r="B8" s="5"/>
      <c r="C8" s="20" t="s">
        <v>31</v>
      </c>
      <c r="D8" s="2">
        <v>24</v>
      </c>
      <c r="E8" s="20" t="s">
        <v>38</v>
      </c>
      <c r="F8" s="5">
        <f>D8*D6*D4</f>
        <v>1920</v>
      </c>
      <c r="G8" s="5">
        <f>D4*D6*D7</f>
        <v>1200</v>
      </c>
      <c r="H8" s="5"/>
      <c r="I8" s="5"/>
      <c r="J8" s="5"/>
      <c r="K8" s="5">
        <v>1</v>
      </c>
      <c r="L8" s="378"/>
      <c r="M8" s="20" t="s">
        <v>31</v>
      </c>
      <c r="N8" s="379">
        <v>24</v>
      </c>
      <c r="O8" s="20" t="s">
        <v>38</v>
      </c>
      <c r="P8" s="5"/>
      <c r="Q8" s="5"/>
      <c r="R8" s="5"/>
      <c r="S8" s="5"/>
      <c r="T8" s="5"/>
    </row>
    <row r="9" spans="1:20" ht="17" thickBot="1" x14ac:dyDescent="0.25">
      <c r="A9" s="5"/>
      <c r="B9" s="5"/>
      <c r="C9" s="380" t="s">
        <v>32</v>
      </c>
      <c r="D9" s="3">
        <v>1</v>
      </c>
      <c r="E9" s="380" t="s">
        <v>38</v>
      </c>
      <c r="F9" s="5"/>
      <c r="G9" s="5"/>
      <c r="H9" s="5"/>
      <c r="I9" s="5"/>
      <c r="J9" s="5"/>
      <c r="K9" s="5"/>
      <c r="L9" s="5"/>
      <c r="M9" s="380" t="s">
        <v>32</v>
      </c>
      <c r="N9" s="381">
        <v>1</v>
      </c>
      <c r="O9" s="380" t="s">
        <v>38</v>
      </c>
      <c r="P9" s="5"/>
      <c r="Q9" s="5"/>
      <c r="R9" s="5"/>
      <c r="S9" s="5"/>
      <c r="T9" s="5"/>
    </row>
    <row r="10" spans="1:20" x14ac:dyDescent="0.2">
      <c r="A10" s="5"/>
      <c r="B10" s="5"/>
      <c r="C10" s="5"/>
      <c r="D10" s="5"/>
      <c r="E10" s="5"/>
      <c r="F10" s="5">
        <f>50*F8</f>
        <v>96000</v>
      </c>
      <c r="G10" s="5"/>
      <c r="H10" s="5"/>
      <c r="I10" s="5"/>
      <c r="J10" s="5"/>
      <c r="K10" s="5"/>
      <c r="L10" s="378"/>
      <c r="M10" s="5"/>
      <c r="N10" s="5"/>
      <c r="O10" s="5"/>
      <c r="P10" s="5"/>
      <c r="Q10" s="5"/>
      <c r="R10" s="5"/>
      <c r="S10" s="5"/>
      <c r="T10" s="5"/>
    </row>
    <row r="11" spans="1:20" x14ac:dyDescent="0.2">
      <c r="A11" s="5"/>
      <c r="B11" s="5"/>
      <c r="C11" s="5"/>
      <c r="D11" s="5"/>
      <c r="E11" s="5"/>
      <c r="F11" s="5"/>
      <c r="G11" s="5" t="s">
        <v>54</v>
      </c>
      <c r="H11" s="5" t="s">
        <v>55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7" thickBot="1" x14ac:dyDescent="0.25">
      <c r="A12" s="5"/>
      <c r="B12" s="5"/>
      <c r="C12" s="478" t="s">
        <v>28</v>
      </c>
      <c r="D12" s="478"/>
      <c r="E12" s="478"/>
      <c r="F12" s="5"/>
      <c r="G12" s="5"/>
      <c r="H12" s="5"/>
      <c r="I12" s="5"/>
      <c r="J12" s="5"/>
      <c r="K12" s="5"/>
      <c r="L12" s="5"/>
      <c r="M12" s="478" t="s">
        <v>28</v>
      </c>
      <c r="N12" s="478"/>
      <c r="O12" s="478"/>
      <c r="P12" s="5"/>
      <c r="Q12" s="5"/>
      <c r="R12" s="5"/>
      <c r="S12" s="5"/>
      <c r="T12" s="5"/>
    </row>
    <row r="13" spans="1:20" x14ac:dyDescent="0.2">
      <c r="A13" s="5"/>
      <c r="B13" s="5"/>
      <c r="C13" s="382" t="s">
        <v>33</v>
      </c>
      <c r="D13" s="1">
        <v>2</v>
      </c>
      <c r="E13" s="383" t="s">
        <v>40</v>
      </c>
      <c r="F13" s="5"/>
      <c r="G13" s="5"/>
      <c r="H13" s="5"/>
      <c r="I13" s="5"/>
      <c r="J13" s="5"/>
      <c r="K13" s="5">
        <v>1</v>
      </c>
      <c r="L13" s="5"/>
      <c r="M13" s="382" t="s">
        <v>33</v>
      </c>
      <c r="N13" s="377">
        <v>1</v>
      </c>
      <c r="O13" s="383" t="s">
        <v>40</v>
      </c>
      <c r="P13" s="5"/>
      <c r="Q13" s="5"/>
      <c r="R13" s="5"/>
      <c r="S13" s="5"/>
      <c r="T13" s="5"/>
    </row>
    <row r="14" spans="1:20" x14ac:dyDescent="0.2">
      <c r="A14" s="5"/>
      <c r="B14" s="5"/>
      <c r="C14" s="384" t="s">
        <v>34</v>
      </c>
      <c r="D14" s="20">
        <f>D7</f>
        <v>15</v>
      </c>
      <c r="E14" s="385"/>
      <c r="F14" s="5"/>
      <c r="G14" s="5"/>
      <c r="H14" s="5"/>
      <c r="I14" s="5"/>
      <c r="J14" s="5"/>
      <c r="K14" s="5"/>
      <c r="L14" s="5"/>
      <c r="M14" s="384" t="s">
        <v>34</v>
      </c>
      <c r="N14" s="20">
        <f>N7</f>
        <v>10</v>
      </c>
      <c r="O14" s="385"/>
      <c r="P14" s="5"/>
      <c r="Q14" s="5"/>
      <c r="R14" s="5"/>
      <c r="S14" s="5"/>
      <c r="T14" s="5"/>
    </row>
    <row r="15" spans="1:20" x14ac:dyDescent="0.2">
      <c r="A15" s="5"/>
      <c r="B15" s="5"/>
      <c r="C15" s="384" t="s">
        <v>35</v>
      </c>
      <c r="D15" s="20">
        <f>D6*D4</f>
        <v>80</v>
      </c>
      <c r="E15" s="385"/>
      <c r="F15" s="5"/>
      <c r="G15" s="5"/>
      <c r="H15" s="5"/>
      <c r="I15" s="5"/>
      <c r="J15" s="5"/>
      <c r="K15" s="5"/>
      <c r="L15" s="5"/>
      <c r="M15" s="384" t="s">
        <v>35</v>
      </c>
      <c r="N15" s="20">
        <f>N6*N4</f>
        <v>300</v>
      </c>
      <c r="O15" s="385"/>
      <c r="P15" s="5"/>
      <c r="Q15" s="5"/>
      <c r="R15" s="5"/>
      <c r="S15" s="5"/>
      <c r="T15" s="5"/>
    </row>
    <row r="16" spans="1:20" x14ac:dyDescent="0.2">
      <c r="A16" s="5"/>
      <c r="B16" s="5"/>
      <c r="C16" s="384" t="s">
        <v>41</v>
      </c>
      <c r="D16" s="4" t="s">
        <v>12</v>
      </c>
      <c r="E16" s="385"/>
      <c r="F16" s="5"/>
      <c r="G16" s="5"/>
      <c r="H16" s="5"/>
      <c r="I16" s="5"/>
      <c r="J16" s="5"/>
      <c r="K16" s="5" t="s">
        <v>12</v>
      </c>
      <c r="L16" s="5"/>
      <c r="M16" s="384" t="s">
        <v>41</v>
      </c>
      <c r="N16" s="386" t="s">
        <v>12</v>
      </c>
      <c r="O16" s="385"/>
      <c r="P16" s="5"/>
      <c r="Q16" s="5"/>
      <c r="R16" s="5"/>
      <c r="S16" s="5"/>
      <c r="T16" s="5"/>
    </row>
    <row r="17" spans="1:20" ht="17" thickBot="1" x14ac:dyDescent="0.25">
      <c r="A17" s="5"/>
      <c r="B17" s="5"/>
      <c r="C17" s="387" t="s">
        <v>42</v>
      </c>
      <c r="D17" s="3">
        <v>3</v>
      </c>
      <c r="E17" s="388"/>
      <c r="F17" s="5"/>
      <c r="G17" s="5"/>
      <c r="H17" s="5"/>
      <c r="I17" s="5"/>
      <c r="J17" s="5"/>
      <c r="K17" s="5">
        <v>3</v>
      </c>
      <c r="L17" s="5"/>
      <c r="M17" s="387" t="s">
        <v>42</v>
      </c>
      <c r="N17" s="381">
        <v>3</v>
      </c>
      <c r="O17" s="388"/>
      <c r="P17" s="5"/>
      <c r="Q17" s="5"/>
      <c r="R17" s="5"/>
      <c r="S17" s="5"/>
      <c r="T17" s="5"/>
    </row>
    <row r="18" spans="1:20" x14ac:dyDescent="0.2">
      <c r="A18" s="5"/>
      <c r="B18" s="5"/>
      <c r="C18" s="5"/>
      <c r="D18" s="5"/>
      <c r="E18" s="5"/>
      <c r="F18" s="5">
        <f>30*48000*50</f>
        <v>72000000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7" thickBot="1" x14ac:dyDescent="0.25">
      <c r="A19" s="5"/>
      <c r="B19" s="5"/>
      <c r="C19" s="478" t="s">
        <v>36</v>
      </c>
      <c r="D19" s="478"/>
      <c r="E19" s="478"/>
      <c r="F19" s="5"/>
      <c r="G19" s="5"/>
      <c r="H19" s="5"/>
      <c r="I19" s="5"/>
      <c r="J19" s="5"/>
      <c r="K19" s="5"/>
      <c r="L19" s="5"/>
      <c r="M19" s="478" t="s">
        <v>36</v>
      </c>
      <c r="N19" s="478"/>
      <c r="O19" s="478"/>
      <c r="P19" s="5"/>
      <c r="Q19" s="5"/>
      <c r="R19" s="5"/>
      <c r="S19" s="5"/>
      <c r="T19" s="5"/>
    </row>
    <row r="20" spans="1:20" ht="17" thickBot="1" x14ac:dyDescent="0.25">
      <c r="A20" s="5"/>
      <c r="B20" s="5"/>
      <c r="C20" s="389" t="s">
        <v>50</v>
      </c>
      <c r="D20" s="21">
        <f>D4*D5*D6*D7*(D8)*D9</f>
        <v>28800</v>
      </c>
      <c r="E20" s="390" t="s">
        <v>62</v>
      </c>
      <c r="F20" s="5"/>
      <c r="G20" s="5">
        <f>D20/1440</f>
        <v>20</v>
      </c>
      <c r="H20" s="5"/>
      <c r="I20" s="5"/>
      <c r="J20" s="5"/>
      <c r="K20" s="5"/>
      <c r="L20" s="5"/>
      <c r="M20" s="389" t="s">
        <v>50</v>
      </c>
      <c r="N20" s="21">
        <f>N4*N5*N6*N7*(N8)*N9</f>
        <v>1800000</v>
      </c>
      <c r="O20" s="390" t="s">
        <v>62</v>
      </c>
      <c r="P20" s="5"/>
      <c r="Q20" s="5"/>
      <c r="R20" s="5"/>
      <c r="S20" s="5"/>
      <c r="T20" s="5"/>
    </row>
    <row r="21" spans="1:20" ht="17" thickBot="1" x14ac:dyDescent="0.25">
      <c r="A21" s="5"/>
      <c r="B21" s="5"/>
      <c r="C21" s="391" t="s">
        <v>47</v>
      </c>
      <c r="D21" s="22">
        <f>(D15*D17*365*D13*D14)/IF(D16="Y",24,1)</f>
        <v>2628000</v>
      </c>
      <c r="E21" s="392" t="s">
        <v>44</v>
      </c>
      <c r="F21" s="5"/>
      <c r="G21" s="5"/>
      <c r="H21" s="5"/>
      <c r="I21" s="5" t="s">
        <v>66</v>
      </c>
      <c r="J21" s="5">
        <v>25</v>
      </c>
      <c r="K21" s="5"/>
      <c r="L21" s="5"/>
      <c r="M21" s="391" t="s">
        <v>47</v>
      </c>
      <c r="N21" s="23">
        <f>(N15*N17*365*N13*N14)/IF(N16="Y",24,1)</f>
        <v>3285000</v>
      </c>
      <c r="O21" s="392" t="s">
        <v>44</v>
      </c>
      <c r="P21" s="5"/>
      <c r="Q21" s="5"/>
      <c r="R21" s="5"/>
      <c r="S21" s="5"/>
      <c r="T21" s="5"/>
    </row>
    <row r="22" spans="1:20" ht="17" thickBot="1" x14ac:dyDescent="0.25">
      <c r="A22" s="5"/>
      <c r="B22" s="5"/>
      <c r="C22" s="5"/>
      <c r="D22" s="5"/>
      <c r="E22" s="5"/>
      <c r="F22" s="5"/>
      <c r="G22" s="5"/>
      <c r="H22" s="5"/>
      <c r="I22" s="5" t="s">
        <v>67</v>
      </c>
      <c r="J22" s="5">
        <v>5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7" thickBot="1" x14ac:dyDescent="0.25">
      <c r="A23" s="5"/>
      <c r="B23" s="5" t="s">
        <v>11</v>
      </c>
      <c r="C23" s="391" t="s">
        <v>56</v>
      </c>
      <c r="D23" s="23">
        <f>D20+D21</f>
        <v>2656800</v>
      </c>
      <c r="E23" s="392"/>
      <c r="F23" s="5"/>
      <c r="G23" s="5"/>
      <c r="H23" s="5"/>
      <c r="I23" s="5" t="s">
        <v>68</v>
      </c>
      <c r="J23" s="5">
        <v>60</v>
      </c>
      <c r="K23" s="5"/>
      <c r="L23" s="5"/>
      <c r="M23" s="5" t="s">
        <v>56</v>
      </c>
      <c r="N23" s="209"/>
      <c r="O23" s="5"/>
      <c r="P23" s="5"/>
      <c r="Q23" s="5"/>
      <c r="R23" s="5"/>
      <c r="S23" s="5"/>
      <c r="T23" s="5"/>
    </row>
    <row r="24" spans="1:20" x14ac:dyDescent="0.2">
      <c r="A24" s="5"/>
      <c r="B24" s="5" t="s">
        <v>12</v>
      </c>
      <c r="C24" s="5"/>
      <c r="D24" s="5"/>
      <c r="E24" s="5"/>
      <c r="F24" s="5" t="s">
        <v>58</v>
      </c>
      <c r="G24" s="5"/>
      <c r="H24" s="5"/>
      <c r="I24" s="5" t="s">
        <v>69</v>
      </c>
      <c r="J24" s="5">
        <v>10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</sheetData>
  <sheetProtection algorithmName="SHA-512" hashValue="rnSzzLzeUO9ZLXbP4C+6ad4IaGE6TmMZVS99eTtmYxtP1/me3sZBdm1VsETYmFLxgi6Vmhp/ydJoyuxqZk+yaw==" saltValue="8j17eq4GZwBXIFDULfrt7Q==" spinCount="100000" sheet="1" objects="1" scenarios="1"/>
  <mergeCells count="8">
    <mergeCell ref="C3:E3"/>
    <mergeCell ref="C12:E12"/>
    <mergeCell ref="C19:E19"/>
    <mergeCell ref="C1:E2"/>
    <mergeCell ref="M1:O2"/>
    <mergeCell ref="M3:O3"/>
    <mergeCell ref="M12:O12"/>
    <mergeCell ref="M19:O19"/>
  </mergeCells>
  <dataValidations count="1">
    <dataValidation type="list" allowBlank="1" showInputMessage="1" showErrorMessage="1" sqref="D16 N16" xr:uid="{5D7A090A-2B52-B840-AFF3-687873296EF3}">
      <formula1>$B$23:$B$24</formula1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B732-9859-7141-972A-CFD0FF125ADD}">
  <dimension ref="A1:Y153"/>
  <sheetViews>
    <sheetView topLeftCell="A61" zoomScaleNormal="100" workbookViewId="0">
      <selection activeCell="A84" sqref="A84"/>
    </sheetView>
  </sheetViews>
  <sheetFormatPr baseColWidth="10" defaultColWidth="11" defaultRowHeight="16" x14ac:dyDescent="0.2"/>
  <cols>
    <col min="1" max="1" width="33" customWidth="1"/>
    <col min="2" max="2" width="10.83203125" customWidth="1"/>
    <col min="3" max="3" width="12.33203125" customWidth="1"/>
    <col min="4" max="5" width="15.6640625" customWidth="1"/>
    <col min="7" max="7" width="12.1640625" customWidth="1"/>
    <col min="14" max="14" width="13.6640625" customWidth="1"/>
    <col min="15" max="15" width="9.83203125" customWidth="1"/>
    <col min="16" max="16" width="13" customWidth="1"/>
    <col min="17" max="17" width="14.5" customWidth="1"/>
    <col min="18" max="18" width="20.6640625" customWidth="1"/>
    <col min="19" max="19" width="17.83203125" customWidth="1"/>
    <col min="20" max="21" width="13.6640625" customWidth="1"/>
    <col min="22" max="24" width="12.33203125" customWidth="1"/>
  </cols>
  <sheetData>
    <row r="1" spans="1:25" ht="17" thickBo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7" thickBot="1" x14ac:dyDescent="0.25">
      <c r="A2" s="187" t="s">
        <v>145</v>
      </c>
      <c r="B2" s="188" t="str">
        <f>'V9 Calculator'!F7</f>
        <v>N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20" thickBot="1" x14ac:dyDescent="0.3">
      <c r="A3" s="189" t="s">
        <v>1</v>
      </c>
      <c r="B3" s="190" t="str">
        <f>'V9 Calculator'!F18</f>
        <v>Y</v>
      </c>
      <c r="C3" s="570" t="s">
        <v>88</v>
      </c>
      <c r="D3" s="638"/>
      <c r="E3" s="638"/>
      <c r="F3" s="638"/>
      <c r="G3" s="571"/>
      <c r="H3" s="570" t="s">
        <v>89</v>
      </c>
      <c r="I3" s="638"/>
      <c r="J3" s="638"/>
      <c r="K3" s="638"/>
      <c r="L3" s="571"/>
      <c r="M3" s="5"/>
      <c r="N3" s="5"/>
      <c r="O3" s="5"/>
      <c r="P3" s="5"/>
      <c r="Q3" s="191" t="s">
        <v>15</v>
      </c>
      <c r="R3" s="192"/>
      <c r="S3" s="192"/>
      <c r="T3" s="192"/>
      <c r="U3" s="192"/>
      <c r="V3" s="192"/>
      <c r="W3" s="192"/>
      <c r="X3" s="193"/>
      <c r="Y3" s="5"/>
    </row>
    <row r="4" spans="1:25" ht="17" thickBot="1" x14ac:dyDescent="0.25">
      <c r="A4" s="194" t="s">
        <v>9</v>
      </c>
      <c r="B4" s="195" t="str">
        <f>'V9 Calculator'!F19</f>
        <v>N</v>
      </c>
      <c r="C4" s="196" t="s">
        <v>90</v>
      </c>
      <c r="D4" s="197" t="s">
        <v>175</v>
      </c>
      <c r="E4" s="198" t="s">
        <v>13</v>
      </c>
      <c r="F4" s="198" t="s">
        <v>85</v>
      </c>
      <c r="G4" s="199" t="s">
        <v>86</v>
      </c>
      <c r="H4" s="200" t="s">
        <v>90</v>
      </c>
      <c r="I4" s="197" t="s">
        <v>175</v>
      </c>
      <c r="J4" s="198" t="s">
        <v>13</v>
      </c>
      <c r="K4" s="198" t="s">
        <v>85</v>
      </c>
      <c r="L4" s="199" t="s">
        <v>86</v>
      </c>
      <c r="M4" s="5"/>
      <c r="N4" s="5"/>
      <c r="O4" s="5"/>
      <c r="P4" s="5"/>
      <c r="Q4" s="201"/>
      <c r="R4" s="202"/>
      <c r="S4" s="202"/>
      <c r="T4" s="203" t="s">
        <v>27</v>
      </c>
      <c r="U4" s="204"/>
      <c r="V4" s="204"/>
      <c r="W4" s="204"/>
      <c r="X4" s="205"/>
      <c r="Y4" s="5"/>
    </row>
    <row r="5" spans="1:25" ht="17" thickBot="1" x14ac:dyDescent="0.25">
      <c r="A5" s="206" t="s">
        <v>91</v>
      </c>
      <c r="B5" s="200">
        <v>50</v>
      </c>
      <c r="C5" s="207">
        <f>ROUNDUP(B18/B5,0)</f>
        <v>0</v>
      </c>
      <c r="D5" s="639" t="s">
        <v>1</v>
      </c>
      <c r="E5" s="639"/>
      <c r="F5" s="639"/>
      <c r="G5" s="639"/>
      <c r="H5" s="208">
        <f>B19</f>
        <v>2</v>
      </c>
      <c r="I5" s="659" t="s">
        <v>1</v>
      </c>
      <c r="J5" s="659"/>
      <c r="K5" s="659"/>
      <c r="L5" s="660"/>
      <c r="M5" s="5"/>
      <c r="N5" s="5"/>
      <c r="O5" s="5"/>
      <c r="P5" s="209" t="s">
        <v>131</v>
      </c>
      <c r="Q5" s="210"/>
      <c r="R5" s="211" t="s">
        <v>16</v>
      </c>
      <c r="S5" s="212" t="s">
        <v>137</v>
      </c>
      <c r="T5" s="213" t="s">
        <v>132</v>
      </c>
      <c r="U5" s="214" t="s">
        <v>133</v>
      </c>
      <c r="V5" s="214" t="s">
        <v>134</v>
      </c>
      <c r="W5" s="215" t="s">
        <v>135</v>
      </c>
      <c r="X5" s="214" t="s">
        <v>136</v>
      </c>
      <c r="Y5" s="5"/>
    </row>
    <row r="6" spans="1:25" ht="17" thickBot="1" x14ac:dyDescent="0.25">
      <c r="A6" s="216" t="s">
        <v>183</v>
      </c>
      <c r="B6" s="5">
        <v>1.5</v>
      </c>
      <c r="C6" s="217"/>
      <c r="D6" s="209">
        <f>IF(B3="N",0,($C$5*$B$6)+$B$8)</f>
        <v>0.5</v>
      </c>
      <c r="E6" s="218">
        <f>IF(B3="N",0,($C$5*$B$7)+$B$9)</f>
        <v>1</v>
      </c>
      <c r="F6" s="219">
        <v>0</v>
      </c>
      <c r="G6" s="220">
        <f>IF(OR(B3="N",B2="Y"),0,$B$11*$C$5)</f>
        <v>0</v>
      </c>
      <c r="H6" s="221"/>
      <c r="I6" s="222">
        <f>IF(B3="N",0,($H$5*$B$6)+$B$8)</f>
        <v>3.5</v>
      </c>
      <c r="J6" s="223">
        <f>IF(B3="N",0,($H$5*$B$7)+$B$9)</f>
        <v>19</v>
      </c>
      <c r="K6" s="224">
        <v>0</v>
      </c>
      <c r="L6" s="225">
        <f>IF(OR(B3="N",B2="Y"),0,$H$5*$B$11)</f>
        <v>298</v>
      </c>
      <c r="M6" s="5"/>
      <c r="N6" s="5"/>
      <c r="O6" s="5"/>
      <c r="P6" s="226" t="str">
        <f>B24</f>
        <v xml:space="preserve">Xsmall/Min  </v>
      </c>
      <c r="Q6" s="227" t="s">
        <v>1</v>
      </c>
      <c r="R6" s="228" t="s">
        <v>2</v>
      </c>
      <c r="S6" s="229">
        <v>0</v>
      </c>
      <c r="T6" s="230">
        <v>50</v>
      </c>
      <c r="U6" s="231">
        <v>100</v>
      </c>
      <c r="V6" s="232">
        <v>250</v>
      </c>
      <c r="W6" s="232">
        <v>500</v>
      </c>
      <c r="X6" s="7">
        <f t="shared" ref="X6:X18" si="0">W6+V6</f>
        <v>750</v>
      </c>
      <c r="Y6" s="5"/>
    </row>
    <row r="7" spans="1:25" x14ac:dyDescent="0.2">
      <c r="A7" s="216" t="s">
        <v>180</v>
      </c>
      <c r="B7" s="5">
        <v>9</v>
      </c>
      <c r="C7" s="207">
        <f>IF(B3="Y",0,ROUNDUP(B21/B5,0))</f>
        <v>0</v>
      </c>
      <c r="D7" s="639" t="str">
        <f>IF(B3="Y","Health 0 (Manage Active)","Health Stand Alone")</f>
        <v>Health 0 (Manage Active)</v>
      </c>
      <c r="E7" s="639"/>
      <c r="F7" s="639"/>
      <c r="G7" s="639"/>
      <c r="H7" s="221"/>
      <c r="I7" s="639" t="s">
        <v>294</v>
      </c>
      <c r="J7" s="639"/>
      <c r="K7" s="639"/>
      <c r="L7" s="640"/>
      <c r="M7" s="5"/>
      <c r="N7" s="5"/>
      <c r="O7" s="5"/>
      <c r="P7" s="644" t="str">
        <f>IF('V9 Calculator'!F20="Y",IF(AND('V9 Calculator'!H20&lt;=T7,'V9 Calculator'!J20&lt;=T8),T5,IF(AND('V9 Calculator'!H20&lt;=U7,'V9 Calculator'!J20&lt;=U8),U5,IF(AND('V9 Calculator'!H20&lt;=V7,'V9 Calculator'!J20&lt;=V8),V5,IF(AND('V9 Calculator'!H20&lt;=W7,'V9 Calculator'!J20&lt;=W8),W5,X5)))),"Not Selected  ")</f>
        <v xml:space="preserve">Not Selected  </v>
      </c>
      <c r="Q7" s="648" t="s">
        <v>6</v>
      </c>
      <c r="R7" s="234" t="s">
        <v>7</v>
      </c>
      <c r="S7" s="235">
        <v>0</v>
      </c>
      <c r="T7" s="236">
        <v>1000</v>
      </c>
      <c r="U7" s="236">
        <v>5000</v>
      </c>
      <c r="V7" s="237">
        <v>50000</v>
      </c>
      <c r="W7" s="237">
        <v>500000</v>
      </c>
      <c r="X7" s="8">
        <f t="shared" si="0"/>
        <v>550000</v>
      </c>
      <c r="Y7" s="5"/>
    </row>
    <row r="8" spans="1:25" ht="17" thickBot="1" x14ac:dyDescent="0.25">
      <c r="A8" s="216" t="s">
        <v>184</v>
      </c>
      <c r="B8" s="5">
        <v>0.5</v>
      </c>
      <c r="C8" s="217"/>
      <c r="D8" s="222">
        <f>IF(OR(B3="Y",B4="N"),0,($C$7*$B$6)+$B$8)</f>
        <v>0</v>
      </c>
      <c r="E8" s="223">
        <f>IF(OR(B3="Y",B4="N"),0,($C$7*$B$7)+$B$9)</f>
        <v>0</v>
      </c>
      <c r="F8" s="224">
        <v>0</v>
      </c>
      <c r="G8" s="238">
        <f>IF(OR(B3="Y",B4="N",B2="Y"),0,$C$7*$B$11)</f>
        <v>0</v>
      </c>
      <c r="H8" s="49"/>
      <c r="I8" s="222">
        <f>IF(OR(B3="Y",B4="N"),0,($H$5*$B$6)+$B$8)</f>
        <v>0</v>
      </c>
      <c r="J8" s="223">
        <f>IF(OR(B3="Y",B4="N"),0,($H$5*$B$7)+$B$9)</f>
        <v>0</v>
      </c>
      <c r="K8" s="224">
        <v>0</v>
      </c>
      <c r="L8" s="225">
        <f>IF(OR(B3="Y",B4="N",B2="Y"),0,$H$5*$B$11)</f>
        <v>0</v>
      </c>
      <c r="M8" s="5"/>
      <c r="N8" s="5"/>
      <c r="O8" s="5"/>
      <c r="P8" s="645"/>
      <c r="Q8" s="649"/>
      <c r="R8" s="240" t="s">
        <v>2</v>
      </c>
      <c r="S8" s="241">
        <v>0</v>
      </c>
      <c r="T8" s="242">
        <v>1</v>
      </c>
      <c r="U8" s="157">
        <v>10</v>
      </c>
      <c r="V8" s="157">
        <v>40</v>
      </c>
      <c r="W8" s="243">
        <v>60</v>
      </c>
      <c r="X8" s="9">
        <f t="shared" si="0"/>
        <v>100</v>
      </c>
      <c r="Y8" s="5"/>
    </row>
    <row r="9" spans="1:25" ht="17" thickBot="1" x14ac:dyDescent="0.25">
      <c r="A9" s="244" t="s">
        <v>92</v>
      </c>
      <c r="B9" s="245">
        <v>1</v>
      </c>
      <c r="C9" s="246"/>
      <c r="D9" s="198"/>
      <c r="E9" s="198"/>
      <c r="F9" s="198"/>
      <c r="G9" s="199"/>
      <c r="H9" s="5"/>
      <c r="I9" s="197"/>
      <c r="J9" s="198"/>
      <c r="K9" s="198"/>
      <c r="L9" s="199"/>
      <c r="M9" s="5"/>
      <c r="N9" s="5"/>
      <c r="O9" s="5"/>
      <c r="P9" s="644" t="str">
        <f>B24</f>
        <v xml:space="preserve">Xsmall/Min  </v>
      </c>
      <c r="Q9" s="648" t="s">
        <v>9</v>
      </c>
      <c r="R9" s="234" t="s">
        <v>2</v>
      </c>
      <c r="S9" s="235">
        <v>0</v>
      </c>
      <c r="T9" s="236">
        <v>1</v>
      </c>
      <c r="U9" s="236">
        <v>5</v>
      </c>
      <c r="V9" s="237">
        <v>15</v>
      </c>
      <c r="W9" s="237">
        <v>35</v>
      </c>
      <c r="X9" s="8">
        <f t="shared" si="0"/>
        <v>50</v>
      </c>
      <c r="Y9" s="5"/>
    </row>
    <row r="10" spans="1:25" ht="17" thickBot="1" x14ac:dyDescent="0.25">
      <c r="A10" s="206" t="s">
        <v>104</v>
      </c>
      <c r="B10" s="200">
        <f>N35</f>
        <v>2.98</v>
      </c>
      <c r="C10" s="247">
        <f>K12</f>
        <v>0</v>
      </c>
      <c r="D10" s="639" t="s">
        <v>291</v>
      </c>
      <c r="E10" s="639"/>
      <c r="F10" s="639"/>
      <c r="G10" s="640"/>
      <c r="H10" s="639" t="s">
        <v>288</v>
      </c>
      <c r="I10" s="639"/>
      <c r="J10" s="639"/>
      <c r="K10" s="248">
        <f>IF(AND($B$3="Y",'V9 Calculator'!F22="Y"),'V9 Calculator'!J22,0)</f>
        <v>0</v>
      </c>
      <c r="L10" s="249"/>
      <c r="M10" s="5"/>
      <c r="N10" s="5"/>
      <c r="O10" s="5"/>
      <c r="P10" s="645"/>
      <c r="Q10" s="649"/>
      <c r="R10" s="240" t="s">
        <v>20</v>
      </c>
      <c r="S10" s="241">
        <v>0</v>
      </c>
      <c r="T10" s="243">
        <v>500</v>
      </c>
      <c r="U10" s="157">
        <v>3000</v>
      </c>
      <c r="V10" s="157">
        <v>20000</v>
      </c>
      <c r="W10" s="243">
        <v>50000</v>
      </c>
      <c r="X10" s="9">
        <f t="shared" si="0"/>
        <v>70000</v>
      </c>
      <c r="Y10" s="5"/>
    </row>
    <row r="11" spans="1:25" x14ac:dyDescent="0.2">
      <c r="A11" s="250" t="s">
        <v>97</v>
      </c>
      <c r="B11" s="5">
        <f>B5*B10</f>
        <v>149</v>
      </c>
      <c r="C11" s="251">
        <f>ROUNDUP(K11/B5,0)</f>
        <v>0</v>
      </c>
      <c r="D11" s="252">
        <f>IF(OR(K13="N",B3="Y"),0,(MAX(C10,C11)*B6)+B8)</f>
        <v>0</v>
      </c>
      <c r="E11" s="253">
        <f>IF(OR(K13="N",B3="Y"),0,(MAX(C10,C11)*B7)+B9)</f>
        <v>0</v>
      </c>
      <c r="F11" s="254">
        <v>0</v>
      </c>
      <c r="G11" s="255">
        <f>IF(OR(K13="N",B3="Y",B2="Y"),0,MAX(C10,C11)*B11)</f>
        <v>0</v>
      </c>
      <c r="H11" s="641" t="s">
        <v>289</v>
      </c>
      <c r="I11" s="641"/>
      <c r="J11" s="641"/>
      <c r="K11" s="248">
        <f>IF(AND($B$3="N",'V9 Calculator'!F22="Y"),'V9 Calculator'!J22,0)</f>
        <v>0</v>
      </c>
      <c r="L11" s="249"/>
      <c r="M11" s="5"/>
      <c r="N11" s="5"/>
      <c r="O11" s="5"/>
      <c r="P11" s="644" t="str">
        <f>IF('V9 Calculator'!F21="Y",IF('V9 Calculator'!H21&lt;=T12,T5,IF('V9 Calculator'!H21&lt;=U12,U5,IF('V9 Calculator'!H21&lt;=V12,V5,IF('V9 Calculator'!H21&lt;=W12,W5,X5)))),"Not Selected  ")</f>
        <v xml:space="preserve">Not Selected  </v>
      </c>
      <c r="Q11" s="648" t="s">
        <v>10</v>
      </c>
      <c r="R11" s="257" t="s">
        <v>65</v>
      </c>
      <c r="S11" s="258">
        <v>0</v>
      </c>
      <c r="T11" s="259">
        <v>100</v>
      </c>
      <c r="U11" s="259">
        <v>12500</v>
      </c>
      <c r="V11" s="260">
        <v>85000</v>
      </c>
      <c r="W11" s="260">
        <v>210000</v>
      </c>
      <c r="X11" s="42">
        <f t="shared" si="0"/>
        <v>295000</v>
      </c>
      <c r="Y11" s="5"/>
    </row>
    <row r="12" spans="1:25" x14ac:dyDescent="0.2">
      <c r="A12" s="216" t="s">
        <v>102</v>
      </c>
      <c r="B12" s="5">
        <f>N41</f>
        <v>119.68</v>
      </c>
      <c r="C12" s="261">
        <f>ROUNDUP(K10/B5,0)</f>
        <v>0</v>
      </c>
      <c r="D12" s="642" t="s">
        <v>292</v>
      </c>
      <c r="E12" s="642"/>
      <c r="F12" s="642"/>
      <c r="G12" s="643"/>
      <c r="H12" s="641" t="s">
        <v>290</v>
      </c>
      <c r="I12" s="641"/>
      <c r="J12" s="641"/>
      <c r="K12" s="248">
        <f>IF(AND($B$3="N",'V9 Calculator'!F22="Y"),'V9 Calculator'!H22,0)</f>
        <v>0</v>
      </c>
      <c r="L12" s="249"/>
      <c r="M12" s="5"/>
      <c r="N12" s="5"/>
      <c r="O12" s="5"/>
      <c r="P12" s="663"/>
      <c r="Q12" s="650"/>
      <c r="R12" s="263" t="s">
        <v>64</v>
      </c>
      <c r="S12" s="264">
        <v>0</v>
      </c>
      <c r="T12" s="36">
        <f>U12/20</f>
        <v>164250</v>
      </c>
      <c r="U12" s="6">
        <f>V12/20</f>
        <v>3285000</v>
      </c>
      <c r="V12" s="6">
        <v>65700000</v>
      </c>
      <c r="W12" s="265">
        <v>821500000</v>
      </c>
      <c r="X12" s="10">
        <f t="shared" si="0"/>
        <v>887200000</v>
      </c>
      <c r="Y12" s="5"/>
    </row>
    <row r="13" spans="1:25" ht="17" thickBot="1" x14ac:dyDescent="0.25">
      <c r="A13" s="244" t="s">
        <v>103</v>
      </c>
      <c r="B13" s="266">
        <f>P41</f>
        <v>0.17</v>
      </c>
      <c r="C13" s="217"/>
      <c r="D13" s="222">
        <f>IF(K13="N",0,ROUND(C12*B6,1))</f>
        <v>0</v>
      </c>
      <c r="E13" s="223">
        <f>IF(K13="N",0,ROUND(C12*B7,1))</f>
        <v>0</v>
      </c>
      <c r="F13" s="224">
        <v>0</v>
      </c>
      <c r="G13" s="225">
        <f>IF(B2="Y",0,B11*C12)</f>
        <v>0</v>
      </c>
      <c r="H13" s="245"/>
      <c r="I13" s="245"/>
      <c r="J13" s="267" t="s">
        <v>239</v>
      </c>
      <c r="K13" s="268" t="str">
        <f>'V9 Calculator'!F22</f>
        <v>N</v>
      </c>
      <c r="L13" s="269"/>
      <c r="M13" s="5"/>
      <c r="N13" s="5"/>
      <c r="O13" s="5"/>
      <c r="P13" s="645"/>
      <c r="Q13" s="649"/>
      <c r="R13" s="270" t="s">
        <v>2</v>
      </c>
      <c r="S13" s="241">
        <v>0</v>
      </c>
      <c r="T13" s="243">
        <v>1</v>
      </c>
      <c r="U13" s="243">
        <v>2</v>
      </c>
      <c r="V13" s="243">
        <v>10</v>
      </c>
      <c r="W13" s="243">
        <v>35</v>
      </c>
      <c r="X13" s="11">
        <f t="shared" si="0"/>
        <v>45</v>
      </c>
      <c r="Y13" s="5"/>
    </row>
    <row r="14" spans="1:25" ht="17" thickBot="1" x14ac:dyDescent="0.25">
      <c r="A14" s="271" t="s">
        <v>160</v>
      </c>
      <c r="B14" s="272"/>
      <c r="C14" s="273">
        <f>SUM(B15:B17)</f>
        <v>0</v>
      </c>
      <c r="D14" s="639" t="s">
        <v>287</v>
      </c>
      <c r="E14" s="639"/>
      <c r="F14" s="639"/>
      <c r="G14" s="640"/>
      <c r="H14" s="200"/>
      <c r="I14" s="570" t="s">
        <v>251</v>
      </c>
      <c r="J14" s="638"/>
      <c r="K14" s="638"/>
      <c r="L14" s="571"/>
      <c r="M14" s="5"/>
      <c r="N14" s="5"/>
      <c r="O14" s="5"/>
      <c r="P14" s="274" t="str">
        <f>IF('V9 Calculator'!F23="Y",IF('V9 Calculator'!H23&lt;=T14,T5,IF('V9 Calculator'!H23&lt;=U14,U5,IF('V9 Calculator'!H23&lt;=V14,V5,IF('V9 Calculator'!H23&lt;=W14,W5,X5)))),"Not Selected  ")</f>
        <v xml:space="preserve">Xsmall/Min  </v>
      </c>
      <c r="Q14" s="239" t="s">
        <v>18</v>
      </c>
      <c r="R14" s="228" t="s">
        <v>2</v>
      </c>
      <c r="S14" s="229">
        <v>0</v>
      </c>
      <c r="T14" s="230">
        <v>1</v>
      </c>
      <c r="U14" s="230">
        <v>4</v>
      </c>
      <c r="V14" s="275">
        <v>8</v>
      </c>
      <c r="W14" s="275">
        <v>16</v>
      </c>
      <c r="X14" s="12">
        <f t="shared" si="0"/>
        <v>24</v>
      </c>
      <c r="Y14" s="5"/>
    </row>
    <row r="15" spans="1:25" ht="17" thickBot="1" x14ac:dyDescent="0.25">
      <c r="A15" s="216" t="s">
        <v>93</v>
      </c>
      <c r="B15" s="5">
        <f>'V9 Calculator'!H32</f>
        <v>0</v>
      </c>
      <c r="C15" s="246"/>
      <c r="D15" s="209">
        <f>ROUNDUP(B6*C14,0)</f>
        <v>0</v>
      </c>
      <c r="E15" s="218">
        <f>B7*C14</f>
        <v>0</v>
      </c>
      <c r="F15" s="219">
        <v>0</v>
      </c>
      <c r="G15" s="276">
        <v>0</v>
      </c>
      <c r="H15" s="5"/>
      <c r="I15" s="156" t="s">
        <v>252</v>
      </c>
      <c r="J15" s="158" t="s">
        <v>253</v>
      </c>
      <c r="K15" s="277" t="s">
        <v>254</v>
      </c>
      <c r="L15" s="278" t="s">
        <v>257</v>
      </c>
      <c r="M15" s="279" t="s">
        <v>257</v>
      </c>
      <c r="N15" s="5"/>
      <c r="O15" s="5"/>
      <c r="P15" s="644" t="str">
        <f>IF('V9 Calculator'!F24="Y",IF('V9 Calculator'!H24&lt;=T15,T5,IF('V9 Calculator'!H24&lt;=U15,U5,IF('V9 Calculator'!H24&lt;=V15,V5,IF('V9 Calculator'!H24&lt;=W15,W5,X5)))),"Not Selected  ")</f>
        <v xml:space="preserve">Not Selected  </v>
      </c>
      <c r="Q15" s="648" t="s">
        <v>75</v>
      </c>
      <c r="R15" s="234" t="s">
        <v>2</v>
      </c>
      <c r="S15" s="235">
        <v>0</v>
      </c>
      <c r="T15" s="236">
        <v>2</v>
      </c>
      <c r="U15" s="236">
        <v>3</v>
      </c>
      <c r="V15" s="237">
        <v>10</v>
      </c>
      <c r="W15" s="237">
        <v>30</v>
      </c>
      <c r="X15" s="8">
        <f t="shared" si="0"/>
        <v>40</v>
      </c>
      <c r="Y15" s="5"/>
    </row>
    <row r="16" spans="1:25" ht="17" thickBot="1" x14ac:dyDescent="0.25">
      <c r="A16" s="216" t="s">
        <v>94</v>
      </c>
      <c r="B16" s="5">
        <f>'V9 Calculator'!I32</f>
        <v>0</v>
      </c>
      <c r="C16" s="246"/>
      <c r="D16" s="5"/>
      <c r="E16" s="5"/>
      <c r="F16" s="5"/>
      <c r="G16" s="249"/>
      <c r="H16" s="256" t="s">
        <v>255</v>
      </c>
      <c r="I16" s="280">
        <f>IF('V9 Calculator'!G35="Y",1.5,0)</f>
        <v>0</v>
      </c>
      <c r="J16" s="281">
        <f>IF('V9 Calculator'!H34="Y",1.5,0)</f>
        <v>0</v>
      </c>
      <c r="K16" s="282">
        <f>IF('V9 Calculator'!I35="Y",1.5,0)</f>
        <v>0</v>
      </c>
      <c r="L16" s="283"/>
      <c r="M16" s="284">
        <f>SUM(I16:K16)</f>
        <v>0</v>
      </c>
      <c r="N16" s="5"/>
      <c r="O16" s="5"/>
      <c r="P16" s="645"/>
      <c r="Q16" s="649"/>
      <c r="R16" s="285" t="s">
        <v>77</v>
      </c>
      <c r="S16" s="286">
        <v>0</v>
      </c>
      <c r="T16" s="287">
        <v>50000</v>
      </c>
      <c r="U16" s="288">
        <v>100000</v>
      </c>
      <c r="V16" s="288">
        <v>600000</v>
      </c>
      <c r="W16" s="287">
        <v>1000000</v>
      </c>
      <c r="X16" s="45">
        <f t="shared" si="0"/>
        <v>1600000</v>
      </c>
      <c r="Y16" s="5"/>
    </row>
    <row r="17" spans="1:25" ht="17" thickBot="1" x14ac:dyDescent="0.25">
      <c r="A17" s="244" t="s">
        <v>158</v>
      </c>
      <c r="B17" s="245">
        <f>'V9 Calculator'!J32</f>
        <v>0</v>
      </c>
      <c r="C17" s="217"/>
      <c r="D17" s="245"/>
      <c r="E17" s="245"/>
      <c r="F17" s="245"/>
      <c r="G17" s="269"/>
      <c r="H17" s="289" t="s">
        <v>256</v>
      </c>
      <c r="I17" s="290">
        <f>IF('V9 Calculator'!G35="Y",9,0)</f>
        <v>0</v>
      </c>
      <c r="J17" s="291">
        <f>IF('V9 Calculator'!H34="Y",9,0)</f>
        <v>0</v>
      </c>
      <c r="K17" s="292">
        <f>IF('V9 Calculator'!I35="Y",9,0)</f>
        <v>0</v>
      </c>
      <c r="L17" s="293"/>
      <c r="M17" s="294">
        <f>SUM(I17:K17)</f>
        <v>0</v>
      </c>
      <c r="N17" s="5"/>
      <c r="O17" s="5"/>
      <c r="P17" s="646"/>
      <c r="Q17" s="651" t="s">
        <v>76</v>
      </c>
      <c r="R17" s="257" t="s">
        <v>80</v>
      </c>
      <c r="S17" s="258">
        <v>0</v>
      </c>
      <c r="T17" s="259">
        <v>50</v>
      </c>
      <c r="U17" s="259">
        <v>250</v>
      </c>
      <c r="V17" s="260">
        <v>2500</v>
      </c>
      <c r="W17" s="260">
        <v>10000</v>
      </c>
      <c r="X17" s="42">
        <f t="shared" si="0"/>
        <v>12500</v>
      </c>
      <c r="Y17" s="5"/>
    </row>
    <row r="18" spans="1:25" ht="17" thickBot="1" x14ac:dyDescent="0.25">
      <c r="A18" s="206" t="s">
        <v>105</v>
      </c>
      <c r="B18" s="295">
        <f>IF(B3="N",0,'V9 Calculator'!J18)</f>
        <v>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47"/>
      <c r="Q18" s="652"/>
      <c r="R18" s="296" t="s">
        <v>7</v>
      </c>
      <c r="S18" s="286">
        <v>0</v>
      </c>
      <c r="T18" s="287">
        <v>1000</v>
      </c>
      <c r="U18" s="288">
        <v>5000</v>
      </c>
      <c r="V18" s="288">
        <v>50000</v>
      </c>
      <c r="W18" s="287">
        <v>200000</v>
      </c>
      <c r="X18" s="43">
        <f t="shared" si="0"/>
        <v>250000</v>
      </c>
      <c r="Y18" s="5"/>
    </row>
    <row r="19" spans="1:25" ht="15.75" customHeight="1" x14ac:dyDescent="0.2">
      <c r="A19" s="216" t="s">
        <v>124</v>
      </c>
      <c r="B19" s="297">
        <f>IF(B3="N",0,'V9 Calculator'!H18)</f>
        <v>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44" t="str">
        <f>IF('V9 Calculator'!F22="Y",IF('V9 Calculator'!H22&lt;=T20,T5,IF('V9 Calculator'!H22&lt;=U20,U5,IF('V9 Calculator'!H22&lt;=V20,V5,IF('V9 Calculator'!H22&lt;=W20,W5,X5)))),"Not Selected  ")</f>
        <v xml:space="preserve">Not Selected  </v>
      </c>
      <c r="Q19" s="653" t="s">
        <v>81</v>
      </c>
      <c r="R19" s="298" t="s">
        <v>2</v>
      </c>
      <c r="S19" s="235" t="s">
        <v>83</v>
      </c>
      <c r="T19" s="236" t="s">
        <v>83</v>
      </c>
      <c r="U19" s="236" t="s">
        <v>83</v>
      </c>
      <c r="V19" s="237" t="s">
        <v>83</v>
      </c>
      <c r="W19" s="237" t="s">
        <v>83</v>
      </c>
      <c r="X19" s="8" t="s">
        <v>83</v>
      </c>
      <c r="Y19" s="5"/>
    </row>
    <row r="20" spans="1:25" ht="17" thickBot="1" x14ac:dyDescent="0.25">
      <c r="A20" s="216" t="s">
        <v>106</v>
      </c>
      <c r="B20" s="297">
        <f>IF(B4="N",0,'V9 Calculator'!J19)</f>
        <v>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45"/>
      <c r="Q20" s="654"/>
      <c r="R20" s="270" t="s">
        <v>82</v>
      </c>
      <c r="S20" s="241">
        <v>0</v>
      </c>
      <c r="T20" s="243">
        <v>5</v>
      </c>
      <c r="U20" s="157">
        <v>10</v>
      </c>
      <c r="V20" s="157">
        <v>30</v>
      </c>
      <c r="W20" s="243">
        <v>50</v>
      </c>
      <c r="X20" s="30">
        <v>80</v>
      </c>
      <c r="Y20" s="5"/>
    </row>
    <row r="21" spans="1:25" ht="17" thickBot="1" x14ac:dyDescent="0.25">
      <c r="A21" s="216" t="s">
        <v>123</v>
      </c>
      <c r="B21" s="297">
        <f>B20*L45</f>
        <v>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279" t="str">
        <f>IF('V9 Calculator'!F22="Y",IF('V9 Calculator'!H22&lt;=T21,T5,IF('V9 Calculator'!H22&lt;=U21,U5,IF('V9 Calculator'!H22&lt;=V21,V5,IF('V9 Calculator'!H22&lt;=W21,W5,X5)))),"Not Selected  ")</f>
        <v xml:space="preserve">Not Selected  </v>
      </c>
      <c r="Q21" s="155" t="s">
        <v>239</v>
      </c>
      <c r="R21" s="299" t="s">
        <v>2</v>
      </c>
      <c r="S21" s="300">
        <v>0</v>
      </c>
      <c r="T21" s="18">
        <v>100</v>
      </c>
      <c r="U21" s="18">
        <v>200</v>
      </c>
      <c r="V21" s="18">
        <v>500</v>
      </c>
      <c r="W21" s="18">
        <v>750</v>
      </c>
      <c r="X21" s="19">
        <f>W21+V21</f>
        <v>1250</v>
      </c>
      <c r="Y21" s="5"/>
    </row>
    <row r="22" spans="1:25" ht="17" thickBot="1" x14ac:dyDescent="0.25">
      <c r="A22" s="216" t="s">
        <v>107</v>
      </c>
      <c r="B22" s="30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302" t="str">
        <f>IF('V9 Calculator'!F25="Y",IF('V9 Calculator'!H25&lt;=T22,T5,IF('V9 Calculator'!H25&lt;=U22,U5,IF('V9 Calculator'!H25&lt;=V22,V5,IF('V9 Calculator'!H25&lt;=W22,W5,X5)))),"Not Selected  ")</f>
        <v xml:space="preserve">Not Selected  </v>
      </c>
      <c r="Q22" s="303" t="s">
        <v>87</v>
      </c>
      <c r="R22" s="304" t="s">
        <v>2</v>
      </c>
      <c r="S22" s="305">
        <v>0</v>
      </c>
      <c r="T22" s="306">
        <v>50</v>
      </c>
      <c r="U22" s="306">
        <v>100</v>
      </c>
      <c r="V22" s="307">
        <v>250</v>
      </c>
      <c r="W22" s="307">
        <v>500</v>
      </c>
      <c r="X22" s="44">
        <f>W22+V22</f>
        <v>750</v>
      </c>
      <c r="Y22" s="5"/>
    </row>
    <row r="23" spans="1:25" ht="17" thickBot="1" x14ac:dyDescent="0.25">
      <c r="A23" s="197" t="s">
        <v>293</v>
      </c>
      <c r="B23" s="199">
        <f>MAX($C$5,$H$5,$C$7,$C$10,$C$11,$C$12)</f>
        <v>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>2800/33</f>
        <v>84.848484848484844</v>
      </c>
      <c r="P23" s="5"/>
      <c r="Q23" s="5"/>
      <c r="R23" s="5"/>
      <c r="S23" s="5"/>
      <c r="T23" s="5">
        <v>1</v>
      </c>
      <c r="U23" s="5">
        <v>2</v>
      </c>
      <c r="V23" s="5">
        <v>3</v>
      </c>
      <c r="W23" s="5">
        <v>4</v>
      </c>
      <c r="X23" s="5">
        <v>5</v>
      </c>
      <c r="Y23" s="5"/>
    </row>
    <row r="24" spans="1:25" ht="17" thickBot="1" x14ac:dyDescent="0.25">
      <c r="A24" s="206" t="s">
        <v>185</v>
      </c>
      <c r="B24" s="308" t="str">
        <f>IF(AND($B$3="N",$B$4="N",$K$13="N"),"Not Selected  ",IF($B$23&lt;=2,"Xsmall/Min  ",IF($B$23&lt;=4,"Small  ",IF($B$23&lt;=10,"Medium  ",IF($B$23&lt;=15,"Large  ","Beyond Large  ")))))</f>
        <v xml:space="preserve">Xsmall/Min  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">
      <c r="A25" s="655" t="s">
        <v>218</v>
      </c>
      <c r="B25" s="309" t="str">
        <f>'V9 Calculator'!F5</f>
        <v>Y</v>
      </c>
      <c r="C25" s="310" t="s">
        <v>217</v>
      </c>
      <c r="D25" s="309" t="s">
        <v>173</v>
      </c>
      <c r="E25" s="309" t="s">
        <v>13</v>
      </c>
      <c r="F25" s="233" t="s">
        <v>17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7" thickBot="1" x14ac:dyDescent="0.25">
      <c r="A26" s="656"/>
      <c r="B26" s="311" t="str">
        <f>'V9 Calculator'!F6</f>
        <v>N</v>
      </c>
      <c r="C26" s="312">
        <f>IF(B26="Y",0,IF(B25="N",1,3))</f>
        <v>3</v>
      </c>
      <c r="D26" s="311">
        <f>C26*B138</f>
        <v>12</v>
      </c>
      <c r="E26" s="311">
        <f>C26*C138</f>
        <v>48</v>
      </c>
      <c r="F26" s="313">
        <f>C26*D138</f>
        <v>360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7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7" thickBot="1" x14ac:dyDescent="0.25">
      <c r="A28" s="5" t="s">
        <v>95</v>
      </c>
      <c r="B28" s="5" t="s">
        <v>173</v>
      </c>
      <c r="C28" s="5" t="s">
        <v>176</v>
      </c>
      <c r="D28" s="5" t="s">
        <v>177</v>
      </c>
      <c r="E28" s="5" t="s">
        <v>181</v>
      </c>
      <c r="F28" s="5" t="s">
        <v>14</v>
      </c>
      <c r="G28" s="5" t="s">
        <v>119</v>
      </c>
      <c r="H28" s="5"/>
      <c r="I28" s="5"/>
      <c r="J28" s="658" t="s">
        <v>98</v>
      </c>
      <c r="K28" s="659"/>
      <c r="L28" s="659"/>
      <c r="M28" s="659"/>
      <c r="N28" s="659"/>
      <c r="O28" s="659"/>
      <c r="P28" s="659"/>
      <c r="Q28" s="658" t="s">
        <v>260</v>
      </c>
      <c r="R28" s="659"/>
      <c r="S28" s="660"/>
      <c r="T28" s="5" t="s">
        <v>279</v>
      </c>
      <c r="U28" s="5"/>
      <c r="V28" s="5"/>
      <c r="W28" s="5"/>
      <c r="X28" s="5"/>
      <c r="Y28" s="5"/>
    </row>
    <row r="29" spans="1:25" ht="17" thickBot="1" x14ac:dyDescent="0.25">
      <c r="A29" s="206" t="str">
        <f>$Q$6&amp;" - "&amp;$S$5</f>
        <v xml:space="preserve">Manage - Dev  </v>
      </c>
      <c r="B29" s="314">
        <v>2</v>
      </c>
      <c r="C29" s="315">
        <v>18</v>
      </c>
      <c r="D29" s="316">
        <v>0</v>
      </c>
      <c r="E29" s="317">
        <v>256</v>
      </c>
      <c r="F29" s="318"/>
      <c r="G29" s="196" t="s">
        <v>110</v>
      </c>
      <c r="H29" s="5"/>
      <c r="I29" s="5"/>
      <c r="J29" s="216" t="s">
        <v>95</v>
      </c>
      <c r="K29" s="5"/>
      <c r="L29" s="5" t="s">
        <v>86</v>
      </c>
      <c r="M29" s="319" t="s">
        <v>2</v>
      </c>
      <c r="N29" s="319" t="s">
        <v>99</v>
      </c>
      <c r="O29" s="319" t="s">
        <v>20</v>
      </c>
      <c r="P29" s="199" t="s">
        <v>101</v>
      </c>
      <c r="Q29" s="206" t="s">
        <v>26</v>
      </c>
      <c r="R29" s="196">
        <v>0</v>
      </c>
      <c r="S29" s="320" t="s">
        <v>26</v>
      </c>
      <c r="T29" s="5">
        <f>'V9 Calculator'!F12*0.5</f>
        <v>0.5</v>
      </c>
      <c r="U29" s="5"/>
      <c r="V29" s="5"/>
      <c r="W29" s="5"/>
      <c r="X29" s="5"/>
      <c r="Y29" s="5"/>
    </row>
    <row r="30" spans="1:25" x14ac:dyDescent="0.2">
      <c r="A30" s="216" t="str">
        <f>$Q$6&amp;" - Calculated  "</f>
        <v xml:space="preserve">Manage - Calculated  </v>
      </c>
      <c r="B30" s="321">
        <f>MAX(D6,I6)</f>
        <v>3.5</v>
      </c>
      <c r="C30" s="322">
        <f>MAX(E6,J6)</f>
        <v>19</v>
      </c>
      <c r="D30" s="323">
        <f>MAX(F6,K6)</f>
        <v>0</v>
      </c>
      <c r="E30" s="324">
        <f>MAX($G$6,$L$6)</f>
        <v>298</v>
      </c>
      <c r="F30" s="325"/>
      <c r="G30" s="221" t="s">
        <v>111</v>
      </c>
      <c r="H30" s="5"/>
      <c r="I30" s="5"/>
      <c r="J30" s="206" t="str">
        <f>$Q$6&amp;$T$5</f>
        <v xml:space="preserve">ManageXsmall/Min  </v>
      </c>
      <c r="K30" s="320"/>
      <c r="L30" s="320">
        <v>256</v>
      </c>
      <c r="M30" s="5">
        <v>100</v>
      </c>
      <c r="N30" s="5">
        <f>ROUND(L30/M30,2)</f>
        <v>2.56</v>
      </c>
      <c r="O30" s="5"/>
      <c r="P30" s="5"/>
      <c r="Q30" s="216" t="s">
        <v>132</v>
      </c>
      <c r="R30" s="221">
        <v>1</v>
      </c>
      <c r="S30" s="249" t="s">
        <v>132</v>
      </c>
      <c r="T30" s="5"/>
      <c r="U30" s="5"/>
      <c r="V30" s="5"/>
      <c r="W30" s="5"/>
      <c r="X30" s="5"/>
      <c r="Y30" s="5"/>
    </row>
    <row r="31" spans="1:25" x14ac:dyDescent="0.2">
      <c r="A31" s="216" t="str">
        <f>$Q$9&amp;" - "&amp;$S$5</f>
        <v xml:space="preserve">Health - Dev  </v>
      </c>
      <c r="B31" s="326">
        <v>2</v>
      </c>
      <c r="C31" s="327">
        <v>10</v>
      </c>
      <c r="D31" s="328">
        <v>0</v>
      </c>
      <c r="E31" s="329">
        <v>256</v>
      </c>
      <c r="F31" s="325"/>
      <c r="G31" s="221" t="s">
        <v>63</v>
      </c>
      <c r="H31" s="5"/>
      <c r="I31" s="5"/>
      <c r="J31" s="216" t="str">
        <f>$Q$6&amp;$U$5</f>
        <v xml:space="preserve">ManageSmall  </v>
      </c>
      <c r="K31" s="249"/>
      <c r="L31" s="249">
        <v>512</v>
      </c>
      <c r="M31" s="5">
        <v>200</v>
      </c>
      <c r="N31" s="5">
        <f>ROUND(L31/M31,2)</f>
        <v>2.56</v>
      </c>
      <c r="O31" s="5"/>
      <c r="P31" s="5"/>
      <c r="Q31" s="216" t="s">
        <v>133</v>
      </c>
      <c r="R31" s="221">
        <v>2</v>
      </c>
      <c r="S31" s="249" t="s">
        <v>133</v>
      </c>
      <c r="T31" s="5"/>
      <c r="U31" s="5"/>
      <c r="V31" s="5"/>
      <c r="W31" s="5"/>
      <c r="X31" s="5"/>
      <c r="Y31" s="5"/>
    </row>
    <row r="32" spans="1:25" ht="17" thickBot="1" x14ac:dyDescent="0.25">
      <c r="A32" s="244" t="str">
        <f>$Q$9&amp;" - Calculated  "</f>
        <v xml:space="preserve">Health - Calculated  </v>
      </c>
      <c r="B32" s="330">
        <f>MAX(D8,I8)</f>
        <v>0</v>
      </c>
      <c r="C32" s="331">
        <f>MAX(E8,J8)</f>
        <v>0</v>
      </c>
      <c r="D32" s="332">
        <f>MAX(F8,K8)</f>
        <v>0</v>
      </c>
      <c r="E32" s="333">
        <f>MAX(G8,L8)</f>
        <v>0</v>
      </c>
      <c r="F32" s="325"/>
      <c r="G32" s="49" t="s">
        <v>159</v>
      </c>
      <c r="H32" s="5"/>
      <c r="I32" s="5"/>
      <c r="J32" s="216" t="str">
        <f>$Q$6&amp;$V$5</f>
        <v xml:space="preserve">ManageMedium  </v>
      </c>
      <c r="K32" s="249"/>
      <c r="L32" s="249">
        <v>1200</v>
      </c>
      <c r="M32" s="5">
        <v>500</v>
      </c>
      <c r="N32" s="5">
        <f>ROUND(L32/M32,2)</f>
        <v>2.4</v>
      </c>
      <c r="O32" s="5"/>
      <c r="P32" s="5"/>
      <c r="Q32" s="216" t="s">
        <v>134</v>
      </c>
      <c r="R32" s="221">
        <v>3</v>
      </c>
      <c r="S32" s="249" t="s">
        <v>134</v>
      </c>
      <c r="T32" s="5"/>
      <c r="U32" s="5"/>
      <c r="V32" s="5"/>
      <c r="W32" s="5"/>
      <c r="X32" s="5"/>
      <c r="Y32" s="5"/>
    </row>
    <row r="33" spans="1:25" x14ac:dyDescent="0.2">
      <c r="A33" s="206" t="str">
        <f>$Q$7&amp;" - "&amp;$S$5</f>
        <v xml:space="preserve">Monitor - Dev  </v>
      </c>
      <c r="B33" s="334">
        <v>10</v>
      </c>
      <c r="C33" s="335">
        <v>33</v>
      </c>
      <c r="D33" s="336"/>
      <c r="E33" s="337"/>
      <c r="F33" s="325"/>
      <c r="G33" s="196" t="s">
        <v>110</v>
      </c>
      <c r="H33" s="5"/>
      <c r="I33" s="5"/>
      <c r="J33" s="216" t="str">
        <f>$Q$6&amp;$W$5</f>
        <v xml:space="preserve">ManageLarge  </v>
      </c>
      <c r="K33" s="249"/>
      <c r="L33" s="249">
        <v>2800</v>
      </c>
      <c r="M33" s="5">
        <v>751</v>
      </c>
      <c r="N33" s="5">
        <f>ROUND(L33/M33,2)</f>
        <v>3.73</v>
      </c>
      <c r="O33" s="5"/>
      <c r="P33" s="5"/>
      <c r="Q33" s="216" t="s">
        <v>135</v>
      </c>
      <c r="R33" s="221">
        <v>4</v>
      </c>
      <c r="S33" s="249" t="s">
        <v>135</v>
      </c>
      <c r="T33" s="5"/>
      <c r="U33" s="5"/>
      <c r="V33" s="5"/>
      <c r="W33" s="5"/>
      <c r="X33" s="5"/>
      <c r="Y33" s="5"/>
    </row>
    <row r="34" spans="1:25" ht="17" thickBot="1" x14ac:dyDescent="0.25">
      <c r="A34" s="216" t="str">
        <f>$Q$7&amp;" - "&amp;$T$5</f>
        <v xml:space="preserve">Monitor - Xsmall/Min  </v>
      </c>
      <c r="B34" s="209">
        <v>17</v>
      </c>
      <c r="C34" s="218">
        <v>33</v>
      </c>
      <c r="D34" s="219"/>
      <c r="E34" s="276"/>
      <c r="F34" s="325"/>
      <c r="G34" s="221" t="s">
        <v>111</v>
      </c>
      <c r="H34" s="5"/>
      <c r="I34" s="5"/>
      <c r="J34" s="244" t="str">
        <f>$Q$6&amp;$X$5</f>
        <v xml:space="preserve">ManageBeyond Large  </v>
      </c>
      <c r="K34" s="269"/>
      <c r="L34" s="249">
        <f>L32+L33</f>
        <v>4000</v>
      </c>
      <c r="M34" s="5">
        <v>1100</v>
      </c>
      <c r="N34" s="5">
        <f>ROUND(L34/M34,2)</f>
        <v>3.64</v>
      </c>
      <c r="O34" s="5"/>
      <c r="P34" s="5"/>
      <c r="Q34" s="244" t="s">
        <v>136</v>
      </c>
      <c r="R34" s="49">
        <v>5</v>
      </c>
      <c r="S34" s="269" t="s">
        <v>136</v>
      </c>
      <c r="T34" s="5" t="s">
        <v>261</v>
      </c>
      <c r="U34" s="5"/>
      <c r="V34" s="5"/>
      <c r="W34" s="5"/>
      <c r="X34" s="5"/>
      <c r="Y34" s="5"/>
    </row>
    <row r="35" spans="1:25" ht="17" thickBot="1" x14ac:dyDescent="0.25">
      <c r="A35" s="216" t="str">
        <f>$Q$7&amp;" - "&amp;$U$5</f>
        <v xml:space="preserve">Monitor - Small  </v>
      </c>
      <c r="B35" s="209">
        <v>17</v>
      </c>
      <c r="C35" s="218">
        <v>72</v>
      </c>
      <c r="D35" s="219"/>
      <c r="E35" s="276"/>
      <c r="F35" s="325"/>
      <c r="G35" s="221" t="s">
        <v>63</v>
      </c>
      <c r="H35" s="5"/>
      <c r="I35" s="5"/>
      <c r="J35" s="661" t="s">
        <v>125</v>
      </c>
      <c r="K35" s="662"/>
      <c r="L35" s="662"/>
      <c r="M35" s="662"/>
      <c r="N35" s="198">
        <f>ROUND(AVERAGE(N30:N34),2)</f>
        <v>2.98</v>
      </c>
      <c r="O35" s="198"/>
      <c r="P35" s="198"/>
      <c r="Q35" s="196">
        <f>IF(ISERROR(VLOOKUP(B24,Q29:R34,2,FALSE)),"",VLOOKUP(B24,Q29:R34,2,FALSE))</f>
        <v>1</v>
      </c>
      <c r="R35" s="319">
        <f>IF(MAX(Q35:Q42)=0,-1,MAX(Q35:Q42))</f>
        <v>1</v>
      </c>
      <c r="S35" s="338" t="str">
        <f>IF(ISERROR(VLOOKUP($R$35,$R$29:$S$34,2,FALSE)),"Not Selected  ",VLOOKUP($R$35,$R$29:$S$34,2,FALSE))</f>
        <v xml:space="preserve">Xsmall/Min  </v>
      </c>
      <c r="T35" s="5">
        <f>R35+T29</f>
        <v>1.5</v>
      </c>
      <c r="U35" s="5"/>
      <c r="V35" s="5"/>
      <c r="W35" s="5"/>
      <c r="X35" s="5"/>
      <c r="Y35" s="5"/>
    </row>
    <row r="36" spans="1:25" x14ac:dyDescent="0.2">
      <c r="A36" s="216" t="str">
        <f>$Q$7&amp;" - "&amp;$V$5</f>
        <v xml:space="preserve">Monitor - Medium  </v>
      </c>
      <c r="B36" s="209">
        <v>28.5</v>
      </c>
      <c r="C36" s="218">
        <v>101</v>
      </c>
      <c r="D36" s="219"/>
      <c r="E36" s="276"/>
      <c r="F36" s="325"/>
      <c r="G36" s="221" t="s">
        <v>114</v>
      </c>
      <c r="H36" s="5"/>
      <c r="I36" s="5"/>
      <c r="J36" s="206" t="str">
        <f>$Q$9&amp;$T$5</f>
        <v xml:space="preserve">HealthXsmall/Min  </v>
      </c>
      <c r="K36" s="320"/>
      <c r="L36" s="249">
        <v>256</v>
      </c>
      <c r="M36" s="5">
        <v>1</v>
      </c>
      <c r="N36" s="5">
        <f>ROUND(L36/M36,2)</f>
        <v>256</v>
      </c>
      <c r="O36" s="5">
        <v>500</v>
      </c>
      <c r="P36" s="5">
        <f>ROUND(L36/O36,2)</f>
        <v>0.51</v>
      </c>
      <c r="Q36" s="221" t="str">
        <f>IF(ISERROR(VLOOKUP(P7,$Q$29:$R$34,2,FALSE)),"",VLOOKUP(P7,$Q$29:$R$34,2,FALSE))</f>
        <v/>
      </c>
      <c r="R36" s="5"/>
      <c r="S36" s="249"/>
      <c r="T36" s="5"/>
      <c r="U36" s="5"/>
      <c r="V36" s="5"/>
      <c r="W36" s="5"/>
      <c r="X36" s="5"/>
      <c r="Y36" s="5"/>
    </row>
    <row r="37" spans="1:25" x14ac:dyDescent="0.2">
      <c r="A37" s="216" t="str">
        <f>$Q$7&amp;" - "&amp;$W$5</f>
        <v xml:space="preserve">Monitor - Large  </v>
      </c>
      <c r="B37" s="209">
        <v>45</v>
      </c>
      <c r="C37" s="218">
        <v>150</v>
      </c>
      <c r="D37" s="219"/>
      <c r="E37" s="276"/>
      <c r="F37" s="325"/>
      <c r="G37" s="221" t="s">
        <v>22</v>
      </c>
      <c r="H37" s="5"/>
      <c r="I37" s="5"/>
      <c r="J37" s="216" t="str">
        <f>$Q$9&amp;$U$5</f>
        <v xml:space="preserve">HealthSmall  </v>
      </c>
      <c r="K37" s="249"/>
      <c r="L37" s="249">
        <v>512</v>
      </c>
      <c r="M37" s="5">
        <v>5</v>
      </c>
      <c r="N37" s="5">
        <f>ROUND(L37/M37,2)</f>
        <v>102.4</v>
      </c>
      <c r="O37" s="5">
        <v>3000</v>
      </c>
      <c r="P37" s="5">
        <f>ROUND(L37/O37,2)</f>
        <v>0.17</v>
      </c>
      <c r="Q37" s="221">
        <f>IF(ISERROR(VLOOKUP(P9,$Q$29:$R$34,2,FALSE)),"",VLOOKUP(P9,$Q$29:$R$34,2,FALSE))</f>
        <v>1</v>
      </c>
      <c r="R37" s="5"/>
      <c r="S37" s="249"/>
      <c r="T37" s="5"/>
      <c r="U37" s="5"/>
      <c r="V37" s="5"/>
      <c r="W37" s="5"/>
      <c r="X37" s="5"/>
      <c r="Y37" s="5"/>
    </row>
    <row r="38" spans="1:25" ht="17" thickBot="1" x14ac:dyDescent="0.25">
      <c r="A38" s="244" t="str">
        <f>$Q$7&amp;" - "&amp;$X$5</f>
        <v xml:space="preserve">Monitor - Beyond Large  </v>
      </c>
      <c r="B38" s="222">
        <f>B36+B37</f>
        <v>73.5</v>
      </c>
      <c r="C38" s="223">
        <f>C36+C37</f>
        <v>251</v>
      </c>
      <c r="D38" s="224"/>
      <c r="E38" s="225"/>
      <c r="F38" s="325"/>
      <c r="G38" s="49"/>
      <c r="H38" s="5"/>
      <c r="I38" s="5"/>
      <c r="J38" s="216" t="str">
        <f>$Q$9&amp;$V$5</f>
        <v xml:space="preserve">HealthMedium  </v>
      </c>
      <c r="K38" s="249"/>
      <c r="L38" s="249">
        <v>1200</v>
      </c>
      <c r="M38" s="5">
        <v>15</v>
      </c>
      <c r="N38" s="5">
        <f>ROUND(L38/M38,2)</f>
        <v>80</v>
      </c>
      <c r="O38" s="5">
        <v>20000</v>
      </c>
      <c r="P38" s="5">
        <f>ROUND(L38/O38,2)</f>
        <v>0.06</v>
      </c>
      <c r="Q38" s="221" t="str">
        <f>IF(ISERROR(VLOOKUP(P11,$Q$29:$R$34,2,FALSE)),"",VLOOKUP(P11,$Q$29:$R$34,2,FALSE))</f>
        <v/>
      </c>
      <c r="R38" s="5"/>
      <c r="S38" s="249"/>
      <c r="T38" s="5"/>
      <c r="U38" s="5"/>
      <c r="V38" s="5"/>
      <c r="W38" s="5"/>
      <c r="X38" s="5"/>
      <c r="Y38" s="5"/>
    </row>
    <row r="39" spans="1:25" x14ac:dyDescent="0.2">
      <c r="A39" s="206" t="str">
        <f>$Q$11&amp;" - "&amp;$S$5</f>
        <v xml:space="preserve">Predict - Dev  </v>
      </c>
      <c r="B39" s="334">
        <v>2</v>
      </c>
      <c r="C39" s="335">
        <v>0</v>
      </c>
      <c r="D39" s="336">
        <v>512</v>
      </c>
      <c r="E39" s="337">
        <v>0</v>
      </c>
      <c r="F39" s="325"/>
      <c r="G39" s="196" t="s">
        <v>110</v>
      </c>
      <c r="H39" s="5"/>
      <c r="I39" s="5"/>
      <c r="J39" s="216" t="str">
        <f>$Q$9&amp;$W$5</f>
        <v xml:space="preserve">HealthLarge  </v>
      </c>
      <c r="K39" s="249"/>
      <c r="L39" s="249">
        <v>2800</v>
      </c>
      <c r="M39" s="5">
        <v>35</v>
      </c>
      <c r="N39" s="5">
        <f>ROUND(L39/M39,2)</f>
        <v>80</v>
      </c>
      <c r="O39" s="5">
        <v>50000</v>
      </c>
      <c r="P39" s="5">
        <f>ROUND(L39/O39,2)</f>
        <v>0.06</v>
      </c>
      <c r="Q39" s="221">
        <f>IF(ISERROR(VLOOKUP(P14,$Q$29:$R$34,2,FALSE)),"",VLOOKUP(P14,$Q$29:$R$34,2,FALSE))</f>
        <v>1</v>
      </c>
      <c r="R39" s="5"/>
      <c r="S39" s="249"/>
      <c r="T39" s="5"/>
      <c r="U39" s="5"/>
      <c r="V39" s="5"/>
      <c r="W39" s="5"/>
      <c r="X39" s="5"/>
      <c r="Y39" s="5"/>
    </row>
    <row r="40" spans="1:25" ht="17" thickBot="1" x14ac:dyDescent="0.25">
      <c r="A40" s="216" t="str">
        <f>$Q$11&amp;" - "&amp;$T$5</f>
        <v xml:space="preserve">Predict - Xsmall/Min  </v>
      </c>
      <c r="B40" s="209">
        <v>2</v>
      </c>
      <c r="C40" s="218">
        <v>0</v>
      </c>
      <c r="D40" s="219">
        <v>512</v>
      </c>
      <c r="E40" s="276">
        <v>0</v>
      </c>
      <c r="F40" s="325"/>
      <c r="G40" s="221" t="s">
        <v>63</v>
      </c>
      <c r="H40" s="5"/>
      <c r="I40" s="5"/>
      <c r="J40" s="244" t="str">
        <f>$Q$9&amp;$X$5</f>
        <v xml:space="preserve">HealthBeyond Large  </v>
      </c>
      <c r="K40" s="269"/>
      <c r="L40" s="249">
        <f>L39+L38</f>
        <v>4000</v>
      </c>
      <c r="M40" s="5">
        <v>50</v>
      </c>
      <c r="N40" s="5">
        <f>ROUND(L40/M40,2)</f>
        <v>80</v>
      </c>
      <c r="O40" s="5">
        <f>O39+O38</f>
        <v>70000</v>
      </c>
      <c r="P40" s="5">
        <f>ROUND(L40/O40,2)</f>
        <v>0.06</v>
      </c>
      <c r="Q40" s="221" t="str">
        <f>IF(ISERROR(VLOOKUP(P15,$Q$29:$R$34,2,FALSE)),"",VLOOKUP(P15,$Q$29:$R$34,2,FALSE))</f>
        <v/>
      </c>
      <c r="R40" s="5"/>
      <c r="S40" s="249"/>
      <c r="T40" s="5"/>
      <c r="U40" s="5"/>
      <c r="V40" s="5"/>
      <c r="W40" s="5"/>
      <c r="X40" s="5"/>
      <c r="Y40" s="5"/>
    </row>
    <row r="41" spans="1:25" ht="17" thickBot="1" x14ac:dyDescent="0.25">
      <c r="A41" s="216" t="str">
        <f>$Q$11&amp;" - "&amp;$U$5</f>
        <v xml:space="preserve">Predict - Small  </v>
      </c>
      <c r="B41" s="209">
        <v>2</v>
      </c>
      <c r="C41" s="218">
        <v>0</v>
      </c>
      <c r="D41" s="219">
        <v>1024</v>
      </c>
      <c r="E41" s="276">
        <v>0</v>
      </c>
      <c r="F41" s="325"/>
      <c r="G41" s="221" t="s">
        <v>113</v>
      </c>
      <c r="H41" s="5"/>
      <c r="I41" s="5"/>
      <c r="J41" s="661" t="s">
        <v>100</v>
      </c>
      <c r="K41" s="662"/>
      <c r="L41" s="662"/>
      <c r="M41" s="662"/>
      <c r="N41" s="198">
        <f>ROUND(AVERAGE(N36:N40),2)</f>
        <v>119.68</v>
      </c>
      <c r="O41" s="198"/>
      <c r="P41" s="198">
        <f>ROUND(AVERAGE(P36:P40),2)</f>
        <v>0.17</v>
      </c>
      <c r="Q41" s="221" t="str">
        <f>IF(ISERROR(VLOOKUP(P19,$Q$29:$R$34,2,FALSE)),"",VLOOKUP(P19,$Q$29:$R$34,2,FALSE))</f>
        <v/>
      </c>
      <c r="R41" s="5"/>
      <c r="S41" s="249"/>
      <c r="T41" s="5"/>
      <c r="U41" s="5"/>
      <c r="V41" s="5"/>
      <c r="W41" s="5"/>
      <c r="X41" s="5"/>
      <c r="Y41" s="5"/>
    </row>
    <row r="42" spans="1:25" ht="17" thickBot="1" x14ac:dyDescent="0.25">
      <c r="A42" s="216" t="str">
        <f>$Q$11&amp;" - "&amp;$V$5</f>
        <v xml:space="preserve">Predict - Medium  </v>
      </c>
      <c r="B42" s="209">
        <v>2</v>
      </c>
      <c r="C42" s="218">
        <v>0</v>
      </c>
      <c r="D42" s="219">
        <v>2048</v>
      </c>
      <c r="E42" s="276">
        <v>0</v>
      </c>
      <c r="F42" s="325"/>
      <c r="G42" s="221" t="s">
        <v>96</v>
      </c>
      <c r="H42" s="5"/>
      <c r="I42" s="5"/>
      <c r="J42" s="5"/>
      <c r="K42" s="5"/>
      <c r="L42" s="5"/>
      <c r="M42" s="5"/>
      <c r="N42" s="5"/>
      <c r="O42" s="5"/>
      <c r="P42" s="5"/>
      <c r="Q42" s="49" t="str">
        <f>IF(ISERROR(VLOOKUP(P22,$Q$29:$R$34,2,FALSE)),"",VLOOKUP(P22,$Q$29:$R$34,2,FALSE))</f>
        <v/>
      </c>
      <c r="R42" s="245"/>
      <c r="S42" s="269"/>
      <c r="T42" s="5"/>
      <c r="U42" s="5"/>
      <c r="V42" s="5"/>
      <c r="W42" s="5"/>
      <c r="X42" s="5"/>
      <c r="Y42" s="5"/>
    </row>
    <row r="43" spans="1:25" ht="17" thickBot="1" x14ac:dyDescent="0.25">
      <c r="A43" s="216" t="str">
        <f>$Q$11&amp;" - "&amp;$W$5</f>
        <v xml:space="preserve">Predict - Large  </v>
      </c>
      <c r="B43" s="209">
        <v>8</v>
      </c>
      <c r="C43" s="218">
        <v>0</v>
      </c>
      <c r="D43" s="219">
        <v>4915</v>
      </c>
      <c r="E43" s="276">
        <v>0</v>
      </c>
      <c r="F43" s="325"/>
      <c r="G43" s="221"/>
      <c r="H43" s="5"/>
      <c r="I43" s="5"/>
      <c r="J43" s="206"/>
      <c r="K43" s="200"/>
      <c r="L43" s="339" t="s">
        <v>122</v>
      </c>
      <c r="M43" s="320">
        <f>M30/M36</f>
        <v>100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7" thickBot="1" x14ac:dyDescent="0.25">
      <c r="A44" s="244" t="str">
        <f>$Q$11&amp;" - "&amp;$X$5</f>
        <v xml:space="preserve">Predict - Beyond Large  </v>
      </c>
      <c r="B44" s="222">
        <f>B42+B43</f>
        <v>10</v>
      </c>
      <c r="C44" s="223">
        <f>C42+C43</f>
        <v>0</v>
      </c>
      <c r="D44" s="224">
        <f>D42+D43</f>
        <v>6963</v>
      </c>
      <c r="E44" s="225">
        <v>0</v>
      </c>
      <c r="F44" s="325"/>
      <c r="G44" s="49"/>
      <c r="H44" s="5"/>
      <c r="I44" s="5"/>
      <c r="J44" s="216"/>
      <c r="K44" s="5"/>
      <c r="L44" s="5">
        <f>AVERAGE(M43:M47)</f>
        <v>43.358095238095238</v>
      </c>
      <c r="M44" s="249">
        <f>M31/M37</f>
        <v>40</v>
      </c>
      <c r="N44" s="5"/>
      <c r="O44" s="5"/>
      <c r="P44" s="5"/>
      <c r="Q44" s="658" t="s">
        <v>143</v>
      </c>
      <c r="R44" s="659"/>
      <c r="S44" s="660"/>
      <c r="T44" s="5"/>
      <c r="U44" s="5"/>
      <c r="V44" s="5"/>
      <c r="W44" s="5"/>
      <c r="X44" s="5"/>
      <c r="Y44" s="5"/>
    </row>
    <row r="45" spans="1:25" x14ac:dyDescent="0.2">
      <c r="A45" s="206" t="str">
        <f>$Q$14&amp;" - "&amp;$S$5</f>
        <v xml:space="preserve">Visual Inspection - Dev  </v>
      </c>
      <c r="B45" s="334">
        <v>4</v>
      </c>
      <c r="C45" s="335">
        <v>64</v>
      </c>
      <c r="D45" s="336">
        <v>115</v>
      </c>
      <c r="E45" s="337">
        <v>0</v>
      </c>
      <c r="F45" s="340">
        <v>1</v>
      </c>
      <c r="G45" s="196" t="s">
        <v>63</v>
      </c>
      <c r="H45" s="5"/>
      <c r="I45" s="5"/>
      <c r="J45" s="657" t="s">
        <v>157</v>
      </c>
      <c r="K45" s="642"/>
      <c r="L45" s="248">
        <v>25</v>
      </c>
      <c r="M45" s="249">
        <f>M32/M38</f>
        <v>33.333333333333336</v>
      </c>
      <c r="N45" s="5"/>
      <c r="O45" s="5"/>
      <c r="P45" s="5"/>
      <c r="Q45" s="206" t="s">
        <v>26</v>
      </c>
      <c r="R45" s="196">
        <v>0</v>
      </c>
      <c r="S45" s="320" t="s">
        <v>26</v>
      </c>
      <c r="T45" s="5"/>
      <c r="U45" s="5"/>
      <c r="V45" s="5"/>
      <c r="W45" s="5"/>
      <c r="X45" s="5"/>
      <c r="Y45" s="5"/>
    </row>
    <row r="46" spans="1:25" x14ac:dyDescent="0.2">
      <c r="A46" s="216" t="str">
        <f>$Q$14&amp;" - "&amp;$T$5</f>
        <v xml:space="preserve">Visual Inspection - Xsmall/Min  </v>
      </c>
      <c r="B46" s="209">
        <v>4</v>
      </c>
      <c r="C46" s="218">
        <v>64</v>
      </c>
      <c r="D46" s="219">
        <v>115</v>
      </c>
      <c r="E46" s="276">
        <v>0</v>
      </c>
      <c r="F46" s="341">
        <v>2</v>
      </c>
      <c r="G46" s="221" t="s">
        <v>109</v>
      </c>
      <c r="H46" s="5"/>
      <c r="I46" s="5"/>
      <c r="J46" s="216"/>
      <c r="K46" s="5"/>
      <c r="L46" s="5"/>
      <c r="M46" s="249">
        <f>M33/M39</f>
        <v>21.457142857142856</v>
      </c>
      <c r="N46" s="5"/>
      <c r="O46" s="5"/>
      <c r="P46" s="5"/>
      <c r="Q46" s="216" t="s">
        <v>132</v>
      </c>
      <c r="R46" s="221">
        <v>1</v>
      </c>
      <c r="S46" s="249" t="s">
        <v>132</v>
      </c>
      <c r="T46" s="5"/>
      <c r="U46" s="5"/>
      <c r="V46" s="5"/>
      <c r="W46" s="5"/>
      <c r="X46" s="5"/>
      <c r="Y46" s="5"/>
    </row>
    <row r="47" spans="1:25" ht="17" thickBot="1" x14ac:dyDescent="0.25">
      <c r="A47" s="216" t="str">
        <f>$Q$14&amp;" - "&amp;$U$5</f>
        <v xml:space="preserve">Visual Inspection - Small  </v>
      </c>
      <c r="B47" s="209">
        <v>8</v>
      </c>
      <c r="C47" s="218">
        <v>128</v>
      </c>
      <c r="D47" s="219">
        <v>240</v>
      </c>
      <c r="E47" s="276">
        <v>0</v>
      </c>
      <c r="F47" s="341">
        <v>2</v>
      </c>
      <c r="G47" s="221"/>
      <c r="H47" s="5"/>
      <c r="I47" s="5"/>
      <c r="J47" s="244"/>
      <c r="K47" s="245"/>
      <c r="L47" s="245"/>
      <c r="M47" s="269">
        <f>M34/M40</f>
        <v>22</v>
      </c>
      <c r="N47" s="5"/>
      <c r="O47" s="5"/>
      <c r="P47" s="5"/>
      <c r="Q47" s="216" t="s">
        <v>133</v>
      </c>
      <c r="R47" s="221">
        <v>2</v>
      </c>
      <c r="S47" s="249" t="s">
        <v>133</v>
      </c>
      <c r="T47" s="5"/>
      <c r="U47" s="5"/>
      <c r="V47" s="5"/>
      <c r="W47" s="5"/>
      <c r="X47" s="5"/>
      <c r="Y47" s="5"/>
    </row>
    <row r="48" spans="1:25" x14ac:dyDescent="0.2">
      <c r="A48" s="216" t="str">
        <f>$Q$14&amp;" - "&amp;$V$5</f>
        <v xml:space="preserve">Visual Inspection - Medium  </v>
      </c>
      <c r="B48" s="209">
        <v>16</v>
      </c>
      <c r="C48" s="218">
        <v>256</v>
      </c>
      <c r="D48" s="219">
        <v>480</v>
      </c>
      <c r="E48" s="276">
        <v>0</v>
      </c>
      <c r="F48" s="341">
        <v>4</v>
      </c>
      <c r="G48" s="221"/>
      <c r="H48" s="5"/>
      <c r="I48" s="5"/>
      <c r="J48" s="5"/>
      <c r="K48" s="5"/>
      <c r="L48" s="5"/>
      <c r="M48" s="5"/>
      <c r="N48" s="5"/>
      <c r="O48" s="5"/>
      <c r="P48" s="5"/>
      <c r="Q48" s="216" t="s">
        <v>134</v>
      </c>
      <c r="R48" s="221">
        <v>3</v>
      </c>
      <c r="S48" s="249" t="s">
        <v>134</v>
      </c>
      <c r="T48" s="5"/>
      <c r="U48" s="5"/>
      <c r="V48" s="5"/>
      <c r="W48" s="5"/>
      <c r="X48" s="5"/>
      <c r="Y48" s="5"/>
    </row>
    <row r="49" spans="1:25" x14ac:dyDescent="0.2">
      <c r="A49" s="216" t="str">
        <f>$Q$14&amp;" - "&amp;$W$5</f>
        <v xml:space="preserve">Visual Inspection - Large  </v>
      </c>
      <c r="B49" s="209">
        <v>24</v>
      </c>
      <c r="C49" s="218">
        <v>512</v>
      </c>
      <c r="D49" s="219">
        <v>2048</v>
      </c>
      <c r="E49" s="276">
        <v>0</v>
      </c>
      <c r="F49" s="341">
        <v>8</v>
      </c>
      <c r="G49" s="221"/>
      <c r="H49" s="5"/>
      <c r="I49" s="5"/>
      <c r="J49" s="5"/>
      <c r="K49" s="5"/>
      <c r="L49" s="5"/>
      <c r="M49" s="5"/>
      <c r="N49" s="5"/>
      <c r="O49" s="5"/>
      <c r="P49" s="5"/>
      <c r="Q49" s="216" t="s">
        <v>135</v>
      </c>
      <c r="R49" s="221">
        <v>4</v>
      </c>
      <c r="S49" s="249" t="s">
        <v>135</v>
      </c>
      <c r="T49" s="5"/>
      <c r="U49" s="5"/>
      <c r="V49" s="5"/>
      <c r="W49" s="5"/>
      <c r="X49" s="5"/>
      <c r="Y49" s="5"/>
    </row>
    <row r="50" spans="1:25" ht="17" thickBot="1" x14ac:dyDescent="0.25">
      <c r="A50" s="244" t="str">
        <f>$Q$14&amp;" - "&amp;$X$5</f>
        <v xml:space="preserve">Visual Inspection - Beyond Large  </v>
      </c>
      <c r="B50" s="222">
        <f>B48+B49</f>
        <v>40</v>
      </c>
      <c r="C50" s="223">
        <f>C48+C49</f>
        <v>768</v>
      </c>
      <c r="D50" s="224">
        <f>D48+D49</f>
        <v>2528</v>
      </c>
      <c r="E50" s="225">
        <v>0</v>
      </c>
      <c r="F50" s="342">
        <v>16</v>
      </c>
      <c r="G50" s="49"/>
      <c r="H50" s="5"/>
      <c r="I50" s="5"/>
      <c r="J50" s="5"/>
      <c r="K50" s="5"/>
      <c r="L50" s="5"/>
      <c r="M50" s="5"/>
      <c r="N50" s="5"/>
      <c r="O50" s="5"/>
      <c r="P50" s="5"/>
      <c r="Q50" s="244" t="s">
        <v>136</v>
      </c>
      <c r="R50" s="49">
        <v>5</v>
      </c>
      <c r="S50" s="269" t="s">
        <v>136</v>
      </c>
      <c r="T50" s="5"/>
      <c r="U50" s="5"/>
      <c r="V50" s="5"/>
      <c r="W50" s="5"/>
      <c r="X50" s="5"/>
      <c r="Y50" s="5"/>
    </row>
    <row r="51" spans="1:25" ht="17" thickBot="1" x14ac:dyDescent="0.25">
      <c r="A51" s="206" t="str">
        <f>$Q$15&amp;" - "&amp;$S$5</f>
        <v xml:space="preserve">Assist - Dev  </v>
      </c>
      <c r="B51" s="334">
        <v>6</v>
      </c>
      <c r="C51" s="335">
        <v>6</v>
      </c>
      <c r="D51" s="336">
        <v>100</v>
      </c>
      <c r="E51" s="337">
        <v>0</v>
      </c>
      <c r="F51" s="325"/>
      <c r="G51" s="196" t="s">
        <v>110</v>
      </c>
      <c r="H51" s="5"/>
      <c r="I51" s="5"/>
      <c r="J51" s="5"/>
      <c r="K51" s="5"/>
      <c r="L51" s="5"/>
      <c r="M51" s="5"/>
      <c r="N51" s="5"/>
      <c r="O51" s="5"/>
      <c r="P51" s="5"/>
      <c r="Q51" s="196" t="str">
        <f>IF(ISERROR(VLOOKUP(P11,$Q$45:$R$50,2,FALSE)),"",VLOOKUP(P11,$Q$45:$R$50,2,FALSE))</f>
        <v/>
      </c>
      <c r="R51" s="319">
        <f>IF(MAX(Q51:Q52)=0,-1,MAX(Q51:Q52))</f>
        <v>-1</v>
      </c>
      <c r="S51" s="338" t="str">
        <f>IF(ISERROR(VLOOKUP($R$51,$R$45:$S$50,2,FALSE)),"Not Selected  ",VLOOKUP($R$51,$R$45:$S$50,2,FALSE))</f>
        <v xml:space="preserve">Not Selected  </v>
      </c>
      <c r="T51" s="5"/>
      <c r="U51" s="5"/>
      <c r="V51" s="5"/>
      <c r="W51" s="5"/>
      <c r="X51" s="5"/>
      <c r="Y51" s="5"/>
    </row>
    <row r="52" spans="1:25" ht="17" thickBot="1" x14ac:dyDescent="0.25">
      <c r="A52" s="216" t="str">
        <f>$Q$15&amp;" - "&amp;$T$5</f>
        <v xml:space="preserve">Assist - Xsmall/Min  </v>
      </c>
      <c r="B52" s="209">
        <v>6</v>
      </c>
      <c r="C52" s="218">
        <v>6</v>
      </c>
      <c r="D52" s="219">
        <v>100</v>
      </c>
      <c r="E52" s="276">
        <v>0</v>
      </c>
      <c r="F52" s="325"/>
      <c r="G52" s="221" t="s">
        <v>63</v>
      </c>
      <c r="H52" s="5"/>
      <c r="I52" s="5"/>
      <c r="J52" s="5"/>
      <c r="K52" s="5"/>
      <c r="L52" s="5"/>
      <c r="M52" s="5"/>
      <c r="N52" s="5"/>
      <c r="O52" s="5"/>
      <c r="P52" s="5"/>
      <c r="Q52" s="49"/>
      <c r="R52" s="245"/>
      <c r="S52" s="269"/>
      <c r="T52" s="5"/>
      <c r="U52" s="5"/>
      <c r="V52" s="5"/>
      <c r="W52" s="5"/>
      <c r="X52" s="5"/>
      <c r="Y52" s="5"/>
    </row>
    <row r="53" spans="1:25" x14ac:dyDescent="0.2">
      <c r="A53" s="216" t="str">
        <f>$Q$15&amp;" - "&amp;$U$5</f>
        <v xml:space="preserve">Assist - Small  </v>
      </c>
      <c r="B53" s="209">
        <v>12</v>
      </c>
      <c r="C53" s="218">
        <v>12</v>
      </c>
      <c r="D53" s="219">
        <v>100</v>
      </c>
      <c r="E53" s="276">
        <v>0</v>
      </c>
      <c r="F53" s="325"/>
      <c r="G53" s="221" t="s">
        <v>78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2">
      <c r="A54" s="216" t="str">
        <f>$Q$15&amp;" - "&amp;$V$5</f>
        <v xml:space="preserve">Assist - Medium  </v>
      </c>
      <c r="B54" s="209">
        <v>18</v>
      </c>
      <c r="C54" s="218">
        <v>18</v>
      </c>
      <c r="D54" s="219">
        <v>150</v>
      </c>
      <c r="E54" s="276">
        <v>0</v>
      </c>
      <c r="F54" s="325"/>
      <c r="G54" s="221" t="s">
        <v>79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2">
      <c r="A55" s="216" t="str">
        <f>$Q$15&amp;" - "&amp;$W$5</f>
        <v xml:space="preserve">Assist - Large  </v>
      </c>
      <c r="B55" s="209">
        <v>36</v>
      </c>
      <c r="C55" s="218">
        <v>36</v>
      </c>
      <c r="D55" s="219">
        <v>150</v>
      </c>
      <c r="E55" s="276">
        <v>0</v>
      </c>
      <c r="F55" s="325"/>
      <c r="G55" s="22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7" thickBot="1" x14ac:dyDescent="0.25">
      <c r="A56" s="244" t="str">
        <f>$Q$15&amp;" - "&amp;$X$5</f>
        <v xml:space="preserve">Assist - Beyond Large  </v>
      </c>
      <c r="B56" s="222">
        <f>B54+B55</f>
        <v>54</v>
      </c>
      <c r="C56" s="223">
        <f>C54+C55</f>
        <v>54</v>
      </c>
      <c r="D56" s="224">
        <f>D54+D55</f>
        <v>300</v>
      </c>
      <c r="E56" s="225">
        <v>0</v>
      </c>
      <c r="F56" s="325"/>
      <c r="G56" s="49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2">
      <c r="A57" s="343" t="str">
        <f>$Q$17&amp;" - "&amp;$S$5</f>
        <v xml:space="preserve">Safety - Dev  </v>
      </c>
      <c r="B57" s="343">
        <v>3</v>
      </c>
      <c r="C57" s="343">
        <v>0</v>
      </c>
      <c r="D57" s="343">
        <v>1</v>
      </c>
      <c r="E57" s="301">
        <v>0</v>
      </c>
      <c r="F57" s="325"/>
      <c r="G57" s="196" t="s">
        <v>110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2">
      <c r="A58" s="343" t="str">
        <f>$Q$17&amp;" - "&amp;$T$5</f>
        <v xml:space="preserve">Safety - Xsmall/Min  </v>
      </c>
      <c r="B58" s="343">
        <v>3</v>
      </c>
      <c r="C58" s="343">
        <v>0</v>
      </c>
      <c r="D58" s="343">
        <v>1</v>
      </c>
      <c r="E58" s="301">
        <v>0</v>
      </c>
      <c r="F58" s="325"/>
      <c r="G58" s="221" t="s">
        <v>63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2">
      <c r="A59" s="343" t="str">
        <f>$Q$17&amp;" - "&amp;$U$5</f>
        <v xml:space="preserve">Safety - Small  </v>
      </c>
      <c r="B59" s="343">
        <v>3</v>
      </c>
      <c r="C59" s="343">
        <v>0</v>
      </c>
      <c r="D59" s="343">
        <v>1</v>
      </c>
      <c r="E59" s="301">
        <v>0</v>
      </c>
      <c r="F59" s="325"/>
      <c r="G59" s="221" t="s">
        <v>112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2">
      <c r="A60" s="343" t="str">
        <f>$Q$17&amp;" - "&amp;$V$5</f>
        <v xml:space="preserve">Safety - Medium  </v>
      </c>
      <c r="B60" s="343">
        <v>5</v>
      </c>
      <c r="C60" s="343">
        <v>0</v>
      </c>
      <c r="D60" s="343">
        <v>5</v>
      </c>
      <c r="E60" s="301">
        <v>0</v>
      </c>
      <c r="F60" s="325"/>
      <c r="G60" s="22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2">
      <c r="A61" s="343" t="str">
        <f>$Q$17&amp;" - "&amp;$W$5</f>
        <v xml:space="preserve">Safety - Large  </v>
      </c>
      <c r="B61" s="343">
        <v>10</v>
      </c>
      <c r="C61" s="343">
        <v>0</v>
      </c>
      <c r="D61" s="343">
        <v>50</v>
      </c>
      <c r="E61" s="301">
        <v>0</v>
      </c>
      <c r="F61" s="325"/>
      <c r="G61" s="22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7" thickBot="1" x14ac:dyDescent="0.25">
      <c r="A62" s="343" t="str">
        <f>$Q$17&amp;" - "&amp;$X$5</f>
        <v xml:space="preserve">Safety - Beyond Large  </v>
      </c>
      <c r="B62" s="343">
        <f>B60+B61</f>
        <v>15</v>
      </c>
      <c r="C62" s="343">
        <f>C60+C61</f>
        <v>0</v>
      </c>
      <c r="D62" s="343">
        <f>D60+D61</f>
        <v>55</v>
      </c>
      <c r="E62" s="301">
        <v>0</v>
      </c>
      <c r="F62" s="325"/>
      <c r="G62" s="4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2">
      <c r="A63" s="201" t="str">
        <f>$Q$19&amp;" - "&amp;$S$5</f>
        <v xml:space="preserve">H &amp; P - Utilities - Dev  </v>
      </c>
      <c r="B63" s="344">
        <v>2</v>
      </c>
      <c r="C63" s="344">
        <v>2</v>
      </c>
      <c r="D63" s="344">
        <v>1024</v>
      </c>
      <c r="E63" s="345">
        <v>0</v>
      </c>
      <c r="F63" s="325"/>
      <c r="G63" s="196" t="s">
        <v>110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2">
      <c r="A64" s="346" t="str">
        <f>$Q$19&amp;" - "&amp;$T$5</f>
        <v xml:space="preserve">H &amp; P - Utilities - Xsmall/Min  </v>
      </c>
      <c r="B64" s="343">
        <v>2</v>
      </c>
      <c r="C64" s="343">
        <v>2</v>
      </c>
      <c r="D64" s="343">
        <v>1024</v>
      </c>
      <c r="E64" s="301">
        <v>0</v>
      </c>
      <c r="F64" s="325"/>
      <c r="G64" s="221" t="s">
        <v>120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2">
      <c r="A65" s="346" t="str">
        <f>$Q$19&amp;" - "&amp;$U$5</f>
        <v xml:space="preserve">H &amp; P - Utilities - Small  </v>
      </c>
      <c r="B65" s="343">
        <v>3</v>
      </c>
      <c r="C65" s="343">
        <v>5</v>
      </c>
      <c r="D65" s="343">
        <v>1024</v>
      </c>
      <c r="E65" s="301">
        <v>0</v>
      </c>
      <c r="F65" s="325"/>
      <c r="G65" s="221" t="s">
        <v>63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2">
      <c r="A66" s="346" t="str">
        <f>$Q$19&amp;" - "&amp;$V$5</f>
        <v xml:space="preserve">H &amp; P - Utilities - Medium  </v>
      </c>
      <c r="B66" s="343">
        <v>7</v>
      </c>
      <c r="C66" s="343">
        <v>13</v>
      </c>
      <c r="D66" s="343">
        <v>1024</v>
      </c>
      <c r="E66" s="301">
        <v>0</v>
      </c>
      <c r="F66" s="325"/>
      <c r="G66" s="22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2">
      <c r="A67" s="346" t="str">
        <f>$Q$19&amp;" - "&amp;$W$5</f>
        <v xml:space="preserve">H &amp; P - Utilities - Large  </v>
      </c>
      <c r="B67" s="343">
        <v>11</v>
      </c>
      <c r="C67" s="343">
        <v>21</v>
      </c>
      <c r="D67" s="343">
        <v>1024</v>
      </c>
      <c r="E67" s="301">
        <v>0</v>
      </c>
      <c r="F67" s="325"/>
      <c r="G67" s="22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7" thickBot="1" x14ac:dyDescent="0.25">
      <c r="A68" s="210" t="str">
        <f>$Q$19&amp;" - "&amp;$X$5</f>
        <v xml:space="preserve">H &amp; P - Utilities - Beyond Large  </v>
      </c>
      <c r="B68" s="266">
        <f>B66+B67</f>
        <v>18</v>
      </c>
      <c r="C68" s="266">
        <f>C66+C67</f>
        <v>34</v>
      </c>
      <c r="D68" s="266">
        <f>D66+D67</f>
        <v>2048</v>
      </c>
      <c r="E68" s="347">
        <f>E66+E67</f>
        <v>0</v>
      </c>
      <c r="F68" s="325"/>
      <c r="G68" s="49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">
      <c r="A69" s="206" t="str">
        <f>$Q$22&amp;" - "&amp;$S$5</f>
        <v xml:space="preserve">Optimizer - Dev  </v>
      </c>
      <c r="B69" s="334">
        <v>4</v>
      </c>
      <c r="C69" s="335">
        <v>4</v>
      </c>
      <c r="D69" s="336">
        <v>1</v>
      </c>
      <c r="E69" s="337">
        <v>0</v>
      </c>
      <c r="F69" s="325"/>
      <c r="G69" s="196" t="s">
        <v>63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2">
      <c r="A70" s="216" t="str">
        <f>$Q$22&amp;" - "&amp;$T$5</f>
        <v xml:space="preserve">Optimizer - Xsmall/Min  </v>
      </c>
      <c r="B70" s="209">
        <v>4</v>
      </c>
      <c r="C70" s="218">
        <v>4</v>
      </c>
      <c r="D70" s="219">
        <v>1</v>
      </c>
      <c r="E70" s="276">
        <v>0</v>
      </c>
      <c r="F70" s="325"/>
      <c r="G70" s="221" t="s">
        <v>109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2">
      <c r="A71" s="216" t="str">
        <f>$Q$22&amp;" - "&amp;$U$5</f>
        <v xml:space="preserve">Optimizer - Small  </v>
      </c>
      <c r="B71" s="209">
        <v>4</v>
      </c>
      <c r="C71" s="218">
        <v>4</v>
      </c>
      <c r="D71" s="219">
        <v>1</v>
      </c>
      <c r="E71" s="276">
        <v>0</v>
      </c>
      <c r="F71" s="325"/>
      <c r="G71" s="22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">
      <c r="A72" s="216" t="str">
        <f>$Q$22&amp;" - "&amp;$V$5</f>
        <v xml:space="preserve">Optimizer - Medium  </v>
      </c>
      <c r="B72" s="209">
        <v>6</v>
      </c>
      <c r="C72" s="218">
        <v>6</v>
      </c>
      <c r="D72" s="219">
        <v>10</v>
      </c>
      <c r="E72" s="276">
        <v>0</v>
      </c>
      <c r="F72" s="325"/>
      <c r="G72" s="22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">
      <c r="A73" s="216" t="str">
        <f>$Q$22&amp;" - "&amp;$W$5</f>
        <v xml:space="preserve">Optimizer - Large  </v>
      </c>
      <c r="B73" s="209">
        <v>6</v>
      </c>
      <c r="C73" s="218">
        <v>11</v>
      </c>
      <c r="D73" s="219">
        <v>20</v>
      </c>
      <c r="E73" s="276">
        <v>0</v>
      </c>
      <c r="F73" s="325"/>
      <c r="G73" s="22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7" thickBot="1" x14ac:dyDescent="0.25">
      <c r="A74" s="244" t="str">
        <f>$Q$22&amp;" - "&amp;$X$5</f>
        <v xml:space="preserve">Optimizer - Beyond Large  </v>
      </c>
      <c r="B74" s="222">
        <f>B72+B73</f>
        <v>12</v>
      </c>
      <c r="C74" s="223">
        <f>C72+C73</f>
        <v>17</v>
      </c>
      <c r="D74" s="224">
        <f>D72+D73</f>
        <v>30</v>
      </c>
      <c r="E74" s="225">
        <f>E72+E73</f>
        <v>0</v>
      </c>
      <c r="F74" s="325"/>
      <c r="G74" s="49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7" thickBot="1" x14ac:dyDescent="0.25">
      <c r="A75" s="206" t="s">
        <v>140</v>
      </c>
      <c r="B75" s="314">
        <v>2</v>
      </c>
      <c r="C75" s="315">
        <v>2</v>
      </c>
      <c r="D75" s="316">
        <v>20</v>
      </c>
      <c r="E75" s="337">
        <v>0</v>
      </c>
      <c r="F75" s="325"/>
      <c r="G75" s="319" t="s">
        <v>108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">
      <c r="A76" s="348" t="str">
        <f>"OpenShift Worker Nodes - "&amp;$T$5</f>
        <v xml:space="preserve">OpenShift Worker Nodes - Xsmall/Min  </v>
      </c>
      <c r="B76" s="349">
        <v>4</v>
      </c>
      <c r="C76" s="350">
        <v>16</v>
      </c>
      <c r="D76" s="351">
        <v>240</v>
      </c>
      <c r="E76" s="352">
        <v>0</v>
      </c>
      <c r="F76" s="353"/>
      <c r="G76" s="221" t="s">
        <v>139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">
      <c r="A77" s="354" t="str">
        <f>"OpenShift Worker Nodes - "&amp;$U$5</f>
        <v xml:space="preserve">OpenShift Worker Nodes - Small  </v>
      </c>
      <c r="B77" s="326">
        <v>5</v>
      </c>
      <c r="C77" s="327">
        <v>16</v>
      </c>
      <c r="D77" s="328">
        <v>240</v>
      </c>
      <c r="E77" s="355">
        <v>0</v>
      </c>
      <c r="F77" s="353"/>
      <c r="G77" s="22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">
      <c r="A78" s="354" t="str">
        <f>"OpenShift Worker Nodes - "&amp;$V$5</f>
        <v xml:space="preserve">OpenShift Worker Nodes - Medium  </v>
      </c>
      <c r="B78" s="326">
        <v>8</v>
      </c>
      <c r="C78" s="327">
        <v>32</v>
      </c>
      <c r="D78" s="328">
        <v>480</v>
      </c>
      <c r="E78" s="355">
        <v>0</v>
      </c>
      <c r="F78" s="353"/>
      <c r="G78" s="22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">
      <c r="A79" s="354" t="str">
        <f>"OpenShift Worker Nodes - "&amp;$W$5</f>
        <v xml:space="preserve">OpenShift Worker Nodes - Large  </v>
      </c>
      <c r="B79" s="326">
        <v>8</v>
      </c>
      <c r="C79" s="327">
        <v>32</v>
      </c>
      <c r="D79" s="328">
        <v>480</v>
      </c>
      <c r="E79" s="355">
        <v>0</v>
      </c>
      <c r="F79" s="353"/>
      <c r="G79" s="22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7" thickBot="1" x14ac:dyDescent="0.25">
      <c r="A80" s="356" t="str">
        <f>"OpenShift Worker Nodes - "&amp;$X$5</f>
        <v xml:space="preserve">OpenShift Worker Nodes - Beyond Large  </v>
      </c>
      <c r="B80" s="357">
        <v>8</v>
      </c>
      <c r="C80" s="358">
        <v>32</v>
      </c>
      <c r="D80" s="359">
        <v>480</v>
      </c>
      <c r="E80" s="360">
        <v>0</v>
      </c>
      <c r="F80" s="353"/>
      <c r="G80" s="22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">
      <c r="A81" s="216" t="s">
        <v>141</v>
      </c>
      <c r="B81" s="326">
        <v>14</v>
      </c>
      <c r="C81" s="327">
        <v>10</v>
      </c>
      <c r="D81" s="328">
        <v>655</v>
      </c>
      <c r="E81" s="276">
        <v>0</v>
      </c>
      <c r="F81" s="325"/>
      <c r="G81" s="196" t="s">
        <v>108</v>
      </c>
      <c r="H81" s="5" t="s">
        <v>230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">
      <c r="A82" s="361" t="s">
        <v>142</v>
      </c>
      <c r="B82" s="362">
        <v>6.5</v>
      </c>
      <c r="C82" s="362">
        <v>18</v>
      </c>
      <c r="D82" s="362">
        <v>0</v>
      </c>
      <c r="E82" s="363">
        <v>0</v>
      </c>
      <c r="F82" s="364"/>
      <c r="G82" s="364" t="s">
        <v>108</v>
      </c>
      <c r="H82" s="5" t="s">
        <v>161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7" thickBot="1" x14ac:dyDescent="0.25">
      <c r="A83" s="244" t="s">
        <v>315</v>
      </c>
      <c r="B83" s="330">
        <f>D15+IF('V9 Calculator'!J34="Y",1,0)</f>
        <v>0</v>
      </c>
      <c r="C83" s="331">
        <f>E15</f>
        <v>0</v>
      </c>
      <c r="D83" s="365">
        <v>0</v>
      </c>
      <c r="E83" s="225">
        <v>0</v>
      </c>
      <c r="F83" s="325"/>
      <c r="G83" s="49" t="s">
        <v>117</v>
      </c>
      <c r="H83" s="5"/>
      <c r="I83" s="5"/>
      <c r="J83" s="5" t="s">
        <v>216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">
      <c r="A84" s="206" t="str">
        <f>"Manage/Health/IT DB2 - "&amp;$S$5</f>
        <v xml:space="preserve">Manage/Health/IT DB2 - Dev  </v>
      </c>
      <c r="B84" s="334">
        <v>6</v>
      </c>
      <c r="C84" s="335">
        <v>24</v>
      </c>
      <c r="D84" s="316">
        <v>0</v>
      </c>
      <c r="E84" s="317">
        <v>256</v>
      </c>
      <c r="F84" s="325"/>
      <c r="G84" s="196" t="s">
        <v>220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">
      <c r="A85" s="216" t="str">
        <f>"Manage/Health/IT DB2 - "&amp;$T$5</f>
        <v xml:space="preserve">Manage/Health/IT DB2 - Xsmall/Min  </v>
      </c>
      <c r="B85" s="209">
        <v>12</v>
      </c>
      <c r="C85" s="218">
        <v>48</v>
      </c>
      <c r="D85" s="328">
        <v>0</v>
      </c>
      <c r="E85" s="324">
        <f>MAX($G$6,$G$8,$L$6,$L$8,$G$11,$G$13)</f>
        <v>298</v>
      </c>
      <c r="F85" s="325"/>
      <c r="G85" s="221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">
      <c r="A86" s="216" t="str">
        <f>"Manage/Health/IT DB2 - "&amp;$U$5</f>
        <v xml:space="preserve">Manage/Health/IT DB2 - Small  </v>
      </c>
      <c r="B86" s="209">
        <v>12</v>
      </c>
      <c r="C86" s="218">
        <v>48</v>
      </c>
      <c r="D86" s="328">
        <v>0</v>
      </c>
      <c r="E86" s="324">
        <f>MAX($G$6,$G$8,$L$6,$L$8,$G$11,$G$13)</f>
        <v>298</v>
      </c>
      <c r="F86" s="325"/>
      <c r="G86" s="22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">
      <c r="A87" s="216" t="str">
        <f>"Manage/Health/IT DB2 - "&amp;$V$5</f>
        <v xml:space="preserve">Manage/Health/IT DB2 - Medium  </v>
      </c>
      <c r="B87" s="209">
        <v>17</v>
      </c>
      <c r="C87" s="218">
        <v>64</v>
      </c>
      <c r="D87" s="328">
        <v>0</v>
      </c>
      <c r="E87" s="324">
        <f>MAX($G$6,$G$8,$L$6,$L$8,$G$11,$G$13)</f>
        <v>298</v>
      </c>
      <c r="F87" s="325"/>
      <c r="G87" s="221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">
      <c r="A88" s="216" t="str">
        <f>"Manage/Health/IT DB2 - "&amp;$W$5</f>
        <v xml:space="preserve">Manage/Health/IT DB2 - Large  </v>
      </c>
      <c r="B88" s="209">
        <v>33</v>
      </c>
      <c r="C88" s="218">
        <v>132</v>
      </c>
      <c r="D88" s="328">
        <v>0</v>
      </c>
      <c r="E88" s="324">
        <f>MAX($G$6,$G$8,$L$6,$L$8,$G$11,$G$13)</f>
        <v>298</v>
      </c>
      <c r="F88" s="325"/>
      <c r="G88" s="22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7" thickBot="1" x14ac:dyDescent="0.25">
      <c r="A89" s="244" t="str">
        <f>"Manage/Health/IT DB2 - "&amp;$X$5</f>
        <v xml:space="preserve">Manage/Health/IT DB2 - Beyond Large  </v>
      </c>
      <c r="B89" s="222">
        <f>B87+B88</f>
        <v>50</v>
      </c>
      <c r="C89" s="223">
        <f>C88+C87</f>
        <v>196</v>
      </c>
      <c r="D89" s="365">
        <v>0</v>
      </c>
      <c r="E89" s="333">
        <f>MAX($G$6,$G$8,$L$6,$L$8,$G$11,$G$13)</f>
        <v>298</v>
      </c>
      <c r="F89" s="325"/>
      <c r="G89" s="49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">
      <c r="A90" s="206" t="str">
        <f>"Monitor DB2 - "&amp;$S$5</f>
        <v xml:space="preserve">Monitor DB2 - Dev  </v>
      </c>
      <c r="B90" s="334">
        <v>6</v>
      </c>
      <c r="C90" s="335">
        <v>24</v>
      </c>
      <c r="D90" s="336">
        <v>0</v>
      </c>
      <c r="E90" s="337">
        <v>512</v>
      </c>
      <c r="F90" s="325"/>
      <c r="G90" s="196" t="s">
        <v>219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">
      <c r="A91" s="216" t="str">
        <f>"Monitor DB2 - "&amp;$T$5</f>
        <v xml:space="preserve">Monitor DB2 - Xsmall/Min  </v>
      </c>
      <c r="B91" s="209">
        <v>12</v>
      </c>
      <c r="C91" s="218">
        <v>48</v>
      </c>
      <c r="D91" s="219">
        <v>0</v>
      </c>
      <c r="E91" s="276">
        <v>512</v>
      </c>
      <c r="F91" s="325"/>
      <c r="G91" s="22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">
      <c r="A92" s="216" t="str">
        <f>"Monitor DB2 - "&amp;$U$5</f>
        <v xml:space="preserve">Monitor DB2 - Small  </v>
      </c>
      <c r="B92" s="209">
        <v>12</v>
      </c>
      <c r="C92" s="218">
        <v>48</v>
      </c>
      <c r="D92" s="219">
        <v>0</v>
      </c>
      <c r="E92" s="276">
        <v>1024</v>
      </c>
      <c r="F92" s="325"/>
      <c r="G92" s="22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">
      <c r="A93" s="216" t="str">
        <f>"Monitor DB2 - "&amp;$V$5</f>
        <v xml:space="preserve">Monitor DB2 - Medium  </v>
      </c>
      <c r="B93" s="209">
        <v>17</v>
      </c>
      <c r="C93" s="218">
        <v>64</v>
      </c>
      <c r="D93" s="219">
        <v>0</v>
      </c>
      <c r="E93" s="276">
        <v>2048</v>
      </c>
      <c r="F93" s="325"/>
      <c r="G93" s="22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">
      <c r="A94" s="216" t="str">
        <f>"Monitor DB2 - "&amp;$W$5</f>
        <v xml:space="preserve">Monitor DB2 - Large  </v>
      </c>
      <c r="B94" s="209">
        <v>33</v>
      </c>
      <c r="C94" s="218">
        <v>132</v>
      </c>
      <c r="D94" s="328">
        <v>0</v>
      </c>
      <c r="E94" s="329">
        <v>8192</v>
      </c>
      <c r="F94" s="325"/>
      <c r="G94" s="22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7" thickBot="1" x14ac:dyDescent="0.25">
      <c r="A95" s="244" t="str">
        <f>"Monitor DB2 - "&amp;$X$5</f>
        <v xml:space="preserve">Monitor DB2 - Beyond Large  </v>
      </c>
      <c r="B95" s="222">
        <f>B94+B93</f>
        <v>50</v>
      </c>
      <c r="C95" s="223">
        <f>C94+C93</f>
        <v>196</v>
      </c>
      <c r="D95" s="365">
        <v>0</v>
      </c>
      <c r="E95" s="333">
        <f>E94+E93</f>
        <v>10240</v>
      </c>
      <c r="F95" s="325"/>
      <c r="G95" s="49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">
      <c r="A96" s="201" t="str">
        <f>"CP4D"&amp;$S$5</f>
        <v xml:space="preserve">CP4DDev  </v>
      </c>
      <c r="B96" s="344">
        <v>14</v>
      </c>
      <c r="C96" s="344"/>
      <c r="D96" s="344"/>
      <c r="E96" s="345"/>
      <c r="F96" s="325"/>
      <c r="G96" s="19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">
      <c r="A97" s="346" t="str">
        <f>"CP4D"&amp;$T$5</f>
        <v xml:space="preserve">CP4DXsmall/Min  </v>
      </c>
      <c r="B97" s="343">
        <v>14</v>
      </c>
      <c r="C97" s="343"/>
      <c r="D97" s="343"/>
      <c r="E97" s="301"/>
      <c r="F97" s="325"/>
      <c r="G97" s="22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2">
      <c r="A98" s="346" t="str">
        <f>"CP4D"&amp;$U$5</f>
        <v xml:space="preserve">CP4DSmall  </v>
      </c>
      <c r="B98" s="343">
        <v>14</v>
      </c>
      <c r="C98" s="343"/>
      <c r="D98" s="343"/>
      <c r="E98" s="301"/>
      <c r="F98" s="325"/>
      <c r="G98" s="22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">
      <c r="A99" s="346" t="str">
        <f>"CP4D"&amp;$V$5</f>
        <v xml:space="preserve">CP4DMedium  </v>
      </c>
      <c r="B99" s="343">
        <v>28</v>
      </c>
      <c r="C99" s="343"/>
      <c r="D99" s="343"/>
      <c r="E99" s="301"/>
      <c r="F99" s="325"/>
      <c r="G99" s="22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2">
      <c r="A100" s="346" t="str">
        <f>"CP4D"&amp;$W$5</f>
        <v xml:space="preserve">CP4DLarge  </v>
      </c>
      <c r="B100" s="343">
        <v>37</v>
      </c>
      <c r="C100" s="343"/>
      <c r="D100" s="343"/>
      <c r="E100" s="301"/>
      <c r="F100" s="325"/>
      <c r="G100" s="22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7" thickBot="1" x14ac:dyDescent="0.25">
      <c r="A101" s="210" t="str">
        <f>"CP4D"&amp;$X$5</f>
        <v xml:space="preserve">CP4DBeyond Large  </v>
      </c>
      <c r="B101" s="266">
        <f>B99+B100</f>
        <v>65</v>
      </c>
      <c r="C101" s="266"/>
      <c r="D101" s="266"/>
      <c r="E101" s="347"/>
      <c r="F101" s="325"/>
      <c r="G101" s="49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2">
      <c r="A102" s="206" t="str">
        <f>"MongoDB - "&amp;$S$5</f>
        <v xml:space="preserve">MongoDB - Dev  </v>
      </c>
      <c r="B102" s="334">
        <v>1.5</v>
      </c>
      <c r="C102" s="335">
        <v>3</v>
      </c>
      <c r="D102" s="336">
        <v>20</v>
      </c>
      <c r="E102" s="337">
        <v>0</v>
      </c>
      <c r="F102" s="325"/>
      <c r="G102" s="196" t="s">
        <v>115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2">
      <c r="A103" s="216" t="str">
        <f>"MongoDB - "&amp;$T$5</f>
        <v xml:space="preserve">MongoDB - Xsmall/Min  </v>
      </c>
      <c r="B103" s="209">
        <v>1.5</v>
      </c>
      <c r="C103" s="218">
        <v>3</v>
      </c>
      <c r="D103" s="219">
        <v>20</v>
      </c>
      <c r="E103" s="276">
        <v>0</v>
      </c>
      <c r="F103" s="325"/>
      <c r="G103" s="22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2">
      <c r="A104" s="216" t="str">
        <f>"MongoDB - "&amp;$U$5</f>
        <v xml:space="preserve">MongoDB - Small  </v>
      </c>
      <c r="B104" s="209">
        <v>1.5</v>
      </c>
      <c r="C104" s="218">
        <v>3</v>
      </c>
      <c r="D104" s="219">
        <v>20</v>
      </c>
      <c r="E104" s="276">
        <v>0</v>
      </c>
      <c r="F104" s="325"/>
      <c r="G104" s="22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2">
      <c r="A105" s="216" t="str">
        <f>"MongoDB - "&amp;$V$5</f>
        <v xml:space="preserve">MongoDB - Medium  </v>
      </c>
      <c r="B105" s="209">
        <v>1.5</v>
      </c>
      <c r="C105" s="218">
        <v>3</v>
      </c>
      <c r="D105" s="219">
        <v>30</v>
      </c>
      <c r="E105" s="276">
        <v>0</v>
      </c>
      <c r="F105" s="325"/>
      <c r="G105" s="221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2">
      <c r="A106" s="216" t="str">
        <f>"MongoDB - "&amp;$W$5</f>
        <v xml:space="preserve">MongoDB - Large  </v>
      </c>
      <c r="B106" s="209">
        <v>2</v>
      </c>
      <c r="C106" s="218">
        <v>4</v>
      </c>
      <c r="D106" s="219">
        <v>40</v>
      </c>
      <c r="E106" s="276">
        <v>0</v>
      </c>
      <c r="F106" s="325"/>
      <c r="G106" s="221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7" thickBot="1" x14ac:dyDescent="0.25">
      <c r="A107" s="244" t="str">
        <f>"MongoDB - "&amp;$X$5</f>
        <v xml:space="preserve">MongoDB - Beyond Large  </v>
      </c>
      <c r="B107" s="222">
        <f>B106+B105</f>
        <v>3.5</v>
      </c>
      <c r="C107" s="223">
        <v>8</v>
      </c>
      <c r="D107" s="224">
        <f>D106+D105</f>
        <v>70</v>
      </c>
      <c r="E107" s="225">
        <v>0</v>
      </c>
      <c r="F107" s="325"/>
      <c r="G107" s="49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2">
      <c r="A108" s="206" t="str">
        <f>"Watson Studio - "&amp;$S$5</f>
        <v xml:space="preserve">Watson Studio - Dev  </v>
      </c>
      <c r="B108" s="334">
        <v>2</v>
      </c>
      <c r="C108" s="335">
        <v>48</v>
      </c>
      <c r="D108" s="336">
        <v>0</v>
      </c>
      <c r="E108" s="337">
        <v>0</v>
      </c>
      <c r="F108" s="325"/>
      <c r="G108" s="196" t="s">
        <v>10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">
      <c r="A109" s="216" t="str">
        <f>"Watson Studio - "&amp;$T$5</f>
        <v xml:space="preserve">Watson Studio - Xsmall/Min  </v>
      </c>
      <c r="B109" s="209">
        <v>2</v>
      </c>
      <c r="C109" s="218">
        <v>48</v>
      </c>
      <c r="D109" s="219">
        <v>0</v>
      </c>
      <c r="E109" s="276">
        <v>0</v>
      </c>
      <c r="F109" s="325"/>
      <c r="G109" s="221" t="s">
        <v>116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2">
      <c r="A110" s="216" t="str">
        <f>"Watson Studio - "&amp;$U$5</f>
        <v xml:space="preserve">Watson Studio - Small  </v>
      </c>
      <c r="B110" s="209">
        <v>2</v>
      </c>
      <c r="C110" s="218">
        <v>48</v>
      </c>
      <c r="D110" s="219">
        <v>0</v>
      </c>
      <c r="E110" s="276">
        <v>0</v>
      </c>
      <c r="F110" s="325"/>
      <c r="G110" s="22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">
      <c r="A111" s="216" t="str">
        <f>"Watson Studio - "&amp;$V$5</f>
        <v xml:space="preserve">Watson Studio - Medium  </v>
      </c>
      <c r="B111" s="209">
        <v>6</v>
      </c>
      <c r="C111" s="218">
        <v>88</v>
      </c>
      <c r="D111" s="219">
        <v>0</v>
      </c>
      <c r="E111" s="276">
        <v>0</v>
      </c>
      <c r="F111" s="325"/>
      <c r="G111" s="22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2">
      <c r="A112" s="216" t="str">
        <f>"Watson Studio - "&amp;$W$5</f>
        <v xml:space="preserve">Watson Studio - Large  </v>
      </c>
      <c r="B112" s="209">
        <v>6</v>
      </c>
      <c r="C112" s="218">
        <v>88</v>
      </c>
      <c r="D112" s="219">
        <v>0</v>
      </c>
      <c r="E112" s="276">
        <v>0</v>
      </c>
      <c r="F112" s="325"/>
      <c r="G112" s="22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7" thickBot="1" x14ac:dyDescent="0.25">
      <c r="A113" s="244" t="str">
        <f>"Watson Studio - "&amp;$X$5</f>
        <v xml:space="preserve">Watson Studio - Beyond Large  </v>
      </c>
      <c r="B113" s="222">
        <f>B112+B111</f>
        <v>12</v>
      </c>
      <c r="C113" s="223">
        <f>C112+C111</f>
        <v>176</v>
      </c>
      <c r="D113" s="224">
        <v>0</v>
      </c>
      <c r="E113" s="225">
        <v>0</v>
      </c>
      <c r="F113" s="325"/>
      <c r="G113" s="49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2">
      <c r="A114" s="206" t="str">
        <f>"Watson ML - "&amp;$S$5</f>
        <v xml:space="preserve">Watson ML - Dev  </v>
      </c>
      <c r="B114" s="334">
        <v>16</v>
      </c>
      <c r="C114" s="335">
        <v>64</v>
      </c>
      <c r="D114" s="336">
        <v>0</v>
      </c>
      <c r="E114" s="337">
        <v>0</v>
      </c>
      <c r="F114" s="325"/>
      <c r="G114" s="196" t="s">
        <v>10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2">
      <c r="A115" s="216" t="str">
        <f>"Watson ML - "&amp;$T$5</f>
        <v xml:space="preserve">Watson ML - Xsmall/Min  </v>
      </c>
      <c r="B115" s="209">
        <v>32</v>
      </c>
      <c r="C115" s="218">
        <v>128</v>
      </c>
      <c r="D115" s="219">
        <v>0</v>
      </c>
      <c r="E115" s="276">
        <v>0</v>
      </c>
      <c r="F115" s="325"/>
      <c r="G115" s="221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2">
      <c r="A116" s="216" t="str">
        <f>"Watson ML - "&amp;$U$5</f>
        <v xml:space="preserve">Watson ML - Small  </v>
      </c>
      <c r="B116" s="209">
        <v>32</v>
      </c>
      <c r="C116" s="218">
        <v>128</v>
      </c>
      <c r="D116" s="219">
        <v>0</v>
      </c>
      <c r="E116" s="276">
        <v>0</v>
      </c>
      <c r="F116" s="325"/>
      <c r="G116" s="221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2">
      <c r="A117" s="216" t="str">
        <f>"Watson ML - "&amp;$V$5</f>
        <v xml:space="preserve">Watson ML - Medium  </v>
      </c>
      <c r="B117" s="209">
        <v>32</v>
      </c>
      <c r="C117" s="218">
        <v>128</v>
      </c>
      <c r="D117" s="219">
        <v>0</v>
      </c>
      <c r="E117" s="276">
        <v>0</v>
      </c>
      <c r="F117" s="325"/>
      <c r="G117" s="22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2">
      <c r="A118" s="216" t="str">
        <f>"Watson ML - "&amp;$W$5</f>
        <v xml:space="preserve">Watson ML - Large  </v>
      </c>
      <c r="B118" s="209">
        <v>48</v>
      </c>
      <c r="C118" s="218">
        <v>182</v>
      </c>
      <c r="D118" s="219">
        <v>0</v>
      </c>
      <c r="E118" s="276">
        <v>0</v>
      </c>
      <c r="F118" s="325"/>
      <c r="G118" s="22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7" thickBot="1" x14ac:dyDescent="0.25">
      <c r="A119" s="244" t="str">
        <f>"Watson ML - "&amp;$X$5</f>
        <v xml:space="preserve">Watson ML - Beyond Large  </v>
      </c>
      <c r="B119" s="222">
        <f>B118+B117</f>
        <v>80</v>
      </c>
      <c r="C119" s="223">
        <f>C118+C117</f>
        <v>310</v>
      </c>
      <c r="D119" s="224">
        <v>0</v>
      </c>
      <c r="E119" s="225">
        <v>0</v>
      </c>
      <c r="F119" s="325"/>
      <c r="G119" s="49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2">
      <c r="A120" s="201" t="str">
        <f>"Watson Discovery - "&amp;$S$5</f>
        <v xml:space="preserve">Watson Discovery - Dev  </v>
      </c>
      <c r="B120" s="344">
        <v>29</v>
      </c>
      <c r="C120" s="344">
        <v>96</v>
      </c>
      <c r="D120" s="344">
        <v>650</v>
      </c>
      <c r="E120" s="345">
        <v>0</v>
      </c>
      <c r="F120" s="325"/>
      <c r="G120" s="196" t="s">
        <v>75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2">
      <c r="A121" s="346" t="str">
        <f>"Watson Discovery - "&amp;$T$5</f>
        <v xml:space="preserve">Watson Discovery - Xsmall/Min  </v>
      </c>
      <c r="B121" s="343">
        <v>29</v>
      </c>
      <c r="C121" s="343">
        <v>96</v>
      </c>
      <c r="D121" s="343">
        <v>650</v>
      </c>
      <c r="E121" s="301">
        <v>0</v>
      </c>
      <c r="F121" s="325"/>
      <c r="G121" s="22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2">
      <c r="A122" s="346" t="str">
        <f>"Watson Discovery - "&amp;$U$5</f>
        <v xml:space="preserve">Watson Discovery - Small  </v>
      </c>
      <c r="B122" s="343">
        <v>29</v>
      </c>
      <c r="C122" s="343">
        <v>150</v>
      </c>
      <c r="D122" s="343">
        <v>890</v>
      </c>
      <c r="E122" s="301">
        <v>0</v>
      </c>
      <c r="F122" s="325"/>
      <c r="G122" s="221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2">
      <c r="A123" s="346" t="str">
        <f>"Watson Discovery - "&amp;$V$5</f>
        <v xml:space="preserve">Watson Discovery - Medium  </v>
      </c>
      <c r="B123" s="343">
        <v>29</v>
      </c>
      <c r="C123" s="343">
        <v>150</v>
      </c>
      <c r="D123" s="343">
        <v>890</v>
      </c>
      <c r="E123" s="301">
        <v>0</v>
      </c>
      <c r="F123" s="325"/>
      <c r="G123" s="22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2">
      <c r="A124" s="346" t="str">
        <f>"Watson Discovery - "&amp;$W$5</f>
        <v xml:space="preserve">Watson Discovery - Large  </v>
      </c>
      <c r="B124" s="343">
        <v>74</v>
      </c>
      <c r="C124" s="343">
        <v>200</v>
      </c>
      <c r="D124" s="343">
        <v>1890</v>
      </c>
      <c r="E124" s="301">
        <v>0</v>
      </c>
      <c r="F124" s="325"/>
      <c r="G124" s="221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7" thickBot="1" x14ac:dyDescent="0.25">
      <c r="A125" s="210" t="str">
        <f>"Watson Discovery - "&amp;$X$5</f>
        <v xml:space="preserve">Watson Discovery - Beyond Large  </v>
      </c>
      <c r="B125" s="266">
        <f>B124+B123</f>
        <v>103</v>
      </c>
      <c r="C125" s="266">
        <f>C124+C123</f>
        <v>350</v>
      </c>
      <c r="D125" s="266">
        <f>D124+D123</f>
        <v>2780</v>
      </c>
      <c r="E125" s="347">
        <v>0</v>
      </c>
      <c r="F125" s="325"/>
      <c r="G125" s="49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2">
      <c r="A126" s="206" t="str">
        <f>"CouchDB - "&amp;$S$5</f>
        <v xml:space="preserve">CouchDB - Dev  </v>
      </c>
      <c r="B126" s="334">
        <v>3</v>
      </c>
      <c r="C126" s="335">
        <v>6</v>
      </c>
      <c r="D126" s="336">
        <v>300</v>
      </c>
      <c r="E126" s="337">
        <v>0</v>
      </c>
      <c r="F126" s="325"/>
      <c r="G126" s="196" t="s">
        <v>75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2">
      <c r="A127" s="216" t="str">
        <f>"CouchDB - "&amp;$T$5</f>
        <v xml:space="preserve">CouchDB - Xsmall/Min  </v>
      </c>
      <c r="B127" s="209">
        <v>3</v>
      </c>
      <c r="C127" s="218">
        <v>6</v>
      </c>
      <c r="D127" s="219">
        <v>300</v>
      </c>
      <c r="E127" s="276">
        <v>0</v>
      </c>
      <c r="F127" s="325"/>
      <c r="G127" s="221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2">
      <c r="A128" s="216" t="str">
        <f>"CouchDB - "&amp;$U$5</f>
        <v xml:space="preserve">CouchDB - Small  </v>
      </c>
      <c r="B128" s="209">
        <v>3</v>
      </c>
      <c r="C128" s="218">
        <v>6</v>
      </c>
      <c r="D128" s="219">
        <v>300</v>
      </c>
      <c r="E128" s="276">
        <v>0</v>
      </c>
      <c r="F128" s="325"/>
      <c r="G128" s="22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2">
      <c r="A129" s="216" t="str">
        <f>"CouchDB - "&amp;$V$5</f>
        <v xml:space="preserve">CouchDB - Medium  </v>
      </c>
      <c r="B129" s="209">
        <v>5</v>
      </c>
      <c r="C129" s="218">
        <v>10</v>
      </c>
      <c r="D129" s="219">
        <v>500</v>
      </c>
      <c r="E129" s="276">
        <v>0</v>
      </c>
      <c r="F129" s="325"/>
      <c r="G129" s="221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2">
      <c r="A130" s="216" t="str">
        <f>"CouchDB - "&amp;$W$5</f>
        <v xml:space="preserve">CouchDB - Large  </v>
      </c>
      <c r="B130" s="209">
        <v>10</v>
      </c>
      <c r="C130" s="218">
        <v>20</v>
      </c>
      <c r="D130" s="219">
        <v>1000</v>
      </c>
      <c r="E130" s="276">
        <v>0</v>
      </c>
      <c r="F130" s="325"/>
      <c r="G130" s="221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7" thickBot="1" x14ac:dyDescent="0.25">
      <c r="A131" s="244" t="str">
        <f>"CouchDB - "&amp;$X$5</f>
        <v xml:space="preserve">CouchDB - Beyond Large  </v>
      </c>
      <c r="B131" s="222">
        <f>B130+B129</f>
        <v>15</v>
      </c>
      <c r="C131" s="223">
        <f>C130+C129</f>
        <v>30</v>
      </c>
      <c r="D131" s="224">
        <f>D130+D129</f>
        <v>1500</v>
      </c>
      <c r="E131" s="225">
        <v>0</v>
      </c>
      <c r="F131" s="325"/>
      <c r="G131" s="4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2">
      <c r="A132" s="216" t="str">
        <f>"Kafka - "&amp;$S$5</f>
        <v xml:space="preserve">Kafka - Dev  </v>
      </c>
      <c r="B132" s="209">
        <v>9</v>
      </c>
      <c r="C132" s="218">
        <v>32</v>
      </c>
      <c r="D132" s="219">
        <v>0</v>
      </c>
      <c r="E132" s="276">
        <v>0</v>
      </c>
      <c r="F132" s="325"/>
      <c r="G132" s="196" t="s">
        <v>6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">
      <c r="A133" s="216" t="str">
        <f>"Kafka - "&amp;$T$5</f>
        <v xml:space="preserve">Kafka - Xsmall/Min  </v>
      </c>
      <c r="B133" s="209">
        <v>9</v>
      </c>
      <c r="C133" s="218">
        <v>32</v>
      </c>
      <c r="D133" s="219">
        <v>0</v>
      </c>
      <c r="E133" s="276">
        <v>0</v>
      </c>
      <c r="F133" s="325"/>
      <c r="G133" s="221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">
      <c r="A134" s="216" t="str">
        <f>"Kafka - "&amp;$U$5</f>
        <v xml:space="preserve">Kafka - Small  </v>
      </c>
      <c r="B134" s="209">
        <v>9</v>
      </c>
      <c r="C134" s="218">
        <v>32</v>
      </c>
      <c r="D134" s="219">
        <v>0</v>
      </c>
      <c r="E134" s="276">
        <v>0</v>
      </c>
      <c r="F134" s="325"/>
      <c r="G134" s="22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">
      <c r="A135" s="216" t="str">
        <f>"Kafka - "&amp;$V$5</f>
        <v xml:space="preserve">Kafka - Medium  </v>
      </c>
      <c r="B135" s="209">
        <v>9</v>
      </c>
      <c r="C135" s="218">
        <v>32</v>
      </c>
      <c r="D135" s="219">
        <v>0</v>
      </c>
      <c r="E135" s="276">
        <v>0</v>
      </c>
      <c r="F135" s="325"/>
      <c r="G135" s="221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">
      <c r="A136" s="216" t="str">
        <f>"Kafka - "&amp;$W$5</f>
        <v xml:space="preserve">Kafka - Large  </v>
      </c>
      <c r="B136" s="209">
        <v>18</v>
      </c>
      <c r="C136" s="218">
        <v>120</v>
      </c>
      <c r="D136" s="219">
        <v>0</v>
      </c>
      <c r="E136" s="276">
        <v>0</v>
      </c>
      <c r="F136" s="325"/>
      <c r="G136" s="221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7" thickBot="1" x14ac:dyDescent="0.25">
      <c r="A137" s="244" t="str">
        <f>"Kafka - "&amp;$X$5</f>
        <v xml:space="preserve">Kafka - Beyond Large  </v>
      </c>
      <c r="B137" s="222">
        <f>B136+B135</f>
        <v>27</v>
      </c>
      <c r="C137" s="223">
        <f>C136+C135</f>
        <v>152</v>
      </c>
      <c r="D137" s="224">
        <v>0</v>
      </c>
      <c r="E137" s="225">
        <v>0</v>
      </c>
      <c r="F137" s="366"/>
      <c r="G137" s="49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7" thickBot="1" x14ac:dyDescent="0.25">
      <c r="A138" s="206" t="s">
        <v>130</v>
      </c>
      <c r="B138" s="367">
        <f>IF('V9 Calculator'!F6="Y",0,IF(T35&lt;3,4,IF(T35&lt;4,8,16)))</f>
        <v>4</v>
      </c>
      <c r="C138" s="368">
        <f>IF('V9 Calculator'!F6="Y",0,IF(T35&lt;3,16,IF(T35&lt;4,32,96)))</f>
        <v>16</v>
      </c>
      <c r="D138" s="369">
        <f>IF('V9 Calculator'!F6="Y",0,IF(T35&lt;3,120,IF(T35&lt;4,240,520)))</f>
        <v>120</v>
      </c>
      <c r="E138" s="370">
        <v>0</v>
      </c>
      <c r="F138" s="318"/>
      <c r="G138" s="320" t="s">
        <v>118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7" thickBot="1" x14ac:dyDescent="0.25">
      <c r="A139" s="197" t="s">
        <v>129</v>
      </c>
      <c r="B139" s="371">
        <v>4</v>
      </c>
      <c r="C139" s="372">
        <v>16</v>
      </c>
      <c r="D139" s="373">
        <v>120</v>
      </c>
      <c r="E139" s="374">
        <v>0</v>
      </c>
      <c r="F139" s="366"/>
      <c r="G139" s="199" t="s">
        <v>259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7" thickBot="1" x14ac:dyDescent="0.25">
      <c r="A140" s="206" t="s">
        <v>231</v>
      </c>
      <c r="B140" s="367">
        <f>IF('V9 Calculator'!G32="Y",9.5,0)</f>
        <v>0</v>
      </c>
      <c r="C140" s="368">
        <f>IF('V9 Calculator'!G32="Y",50,0)</f>
        <v>0</v>
      </c>
      <c r="D140" s="369">
        <f>IF('V9 Calculator'!G32="Y",256,0)</f>
        <v>0</v>
      </c>
      <c r="E140" s="337">
        <v>0</v>
      </c>
      <c r="F140" s="325"/>
      <c r="G140" s="320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7" thickBot="1" x14ac:dyDescent="0.25">
      <c r="A141" s="206" t="s">
        <v>258</v>
      </c>
      <c r="B141" s="367">
        <f>M16</f>
        <v>0</v>
      </c>
      <c r="C141" s="368">
        <f>M17</f>
        <v>0</v>
      </c>
      <c r="D141" s="369"/>
      <c r="E141" s="370"/>
      <c r="F141" s="325"/>
      <c r="G141" s="320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2">
      <c r="A142" s="206" t="s">
        <v>311</v>
      </c>
      <c r="B142" s="334">
        <v>2</v>
      </c>
      <c r="C142" s="335">
        <v>18</v>
      </c>
      <c r="D142" s="336">
        <v>0</v>
      </c>
      <c r="E142" s="337">
        <v>256</v>
      </c>
      <c r="F142" s="318"/>
      <c r="G142" s="320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7" thickBot="1" x14ac:dyDescent="0.25">
      <c r="A143" s="244" t="s">
        <v>286</v>
      </c>
      <c r="B143" s="330">
        <f>MAX(D11,D13)</f>
        <v>0</v>
      </c>
      <c r="C143" s="331">
        <f t="shared" ref="C143:E143" si="1">MAX(E11,E13)</f>
        <v>0</v>
      </c>
      <c r="D143" s="332">
        <f t="shared" si="1"/>
        <v>0</v>
      </c>
      <c r="E143" s="333">
        <f t="shared" si="1"/>
        <v>0</v>
      </c>
      <c r="F143" s="366"/>
      <c r="G143" s="269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</sheetData>
  <sheetProtection algorithmName="SHA-512" hashValue="N63R2SnK72iGE0EMU9fAkdX2PnHpUwvO0LDQ47ha3Xk6f/d9msFUHTlxjNQ5RFpAkRtBxrcyCmzawPOI9BoFrA==" saltValue="sp882cYoVq0MErrGfyz4jA==" spinCount="100000" sheet="1" objects="1" scenarios="1"/>
  <mergeCells count="32">
    <mergeCell ref="A25:A26"/>
    <mergeCell ref="J45:K45"/>
    <mergeCell ref="Q28:S28"/>
    <mergeCell ref="Q44:S44"/>
    <mergeCell ref="C3:G3"/>
    <mergeCell ref="H3:L3"/>
    <mergeCell ref="J41:M41"/>
    <mergeCell ref="J35:M35"/>
    <mergeCell ref="J28:P28"/>
    <mergeCell ref="D5:G5"/>
    <mergeCell ref="D7:G7"/>
    <mergeCell ref="I5:L5"/>
    <mergeCell ref="I7:L7"/>
    <mergeCell ref="P7:P8"/>
    <mergeCell ref="P9:P10"/>
    <mergeCell ref="P11:P13"/>
    <mergeCell ref="P15:P16"/>
    <mergeCell ref="P17:P18"/>
    <mergeCell ref="P19:P20"/>
    <mergeCell ref="Q7:Q8"/>
    <mergeCell ref="Q9:Q10"/>
    <mergeCell ref="Q11:Q13"/>
    <mergeCell ref="Q15:Q16"/>
    <mergeCell ref="Q17:Q18"/>
    <mergeCell ref="Q19:Q20"/>
    <mergeCell ref="I14:L14"/>
    <mergeCell ref="D14:G14"/>
    <mergeCell ref="H11:J11"/>
    <mergeCell ref="H10:J10"/>
    <mergeCell ref="H12:J12"/>
    <mergeCell ref="D10:G10"/>
    <mergeCell ref="D12:G12"/>
  </mergeCells>
  <pageMargins left="0.7" right="0.7" top="0.75" bottom="0.75" header="0.3" footer="0.3"/>
  <pageSetup orientation="portrait" horizontalDpi="4294967293" verticalDpi="0" r:id="rId1"/>
  <ignoredErrors>
    <ignoredError sqref="N35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55D5-B7BA-4661-A84E-93B4BDFEBFD1}">
  <dimension ref="A1:D46"/>
  <sheetViews>
    <sheetView showGridLines="0" showRowColHeaders="0" workbookViewId="0">
      <selection activeCell="H40" sqref="H40"/>
    </sheetView>
  </sheetViews>
  <sheetFormatPr baseColWidth="10" defaultColWidth="8.83203125" defaultRowHeight="16" x14ac:dyDescent="0.2"/>
  <cols>
    <col min="1" max="1" width="3.5" customWidth="1"/>
    <col min="2" max="2" width="9.1640625" customWidth="1"/>
    <col min="3" max="3" width="104.6640625" customWidth="1"/>
  </cols>
  <sheetData>
    <row r="1" spans="1:4" ht="18" thickBot="1" x14ac:dyDescent="0.25">
      <c r="A1" s="5"/>
      <c r="B1" s="24" t="s">
        <v>73</v>
      </c>
      <c r="C1" s="25" t="s">
        <v>74</v>
      </c>
      <c r="D1" s="5"/>
    </row>
    <row r="2" spans="1:4" ht="17" x14ac:dyDescent="0.2">
      <c r="A2" s="5"/>
      <c r="B2" s="26" t="s">
        <v>164</v>
      </c>
      <c r="C2" s="27" t="s">
        <v>213</v>
      </c>
      <c r="D2" s="5"/>
    </row>
    <row r="3" spans="1:4" ht="17" x14ac:dyDescent="0.2">
      <c r="A3" s="5"/>
      <c r="B3" s="13"/>
      <c r="C3" s="28" t="s">
        <v>165</v>
      </c>
      <c r="D3" s="5"/>
    </row>
    <row r="4" spans="1:4" ht="17" x14ac:dyDescent="0.2">
      <c r="A4" s="5"/>
      <c r="B4" s="13"/>
      <c r="C4" s="28" t="s">
        <v>166</v>
      </c>
      <c r="D4" s="5"/>
    </row>
    <row r="5" spans="1:4" ht="17" x14ac:dyDescent="0.2">
      <c r="A5" s="5"/>
      <c r="B5" s="13"/>
      <c r="C5" s="28" t="s">
        <v>167</v>
      </c>
      <c r="D5" s="5"/>
    </row>
    <row r="6" spans="1:4" ht="17" x14ac:dyDescent="0.2">
      <c r="A6" s="5"/>
      <c r="B6" s="13"/>
      <c r="C6" s="28" t="s">
        <v>168</v>
      </c>
      <c r="D6" s="5"/>
    </row>
    <row r="7" spans="1:4" ht="17" x14ac:dyDescent="0.2">
      <c r="A7" s="5"/>
      <c r="B7" s="13"/>
      <c r="C7" s="28" t="s">
        <v>169</v>
      </c>
      <c r="D7" s="5"/>
    </row>
    <row r="8" spans="1:4" ht="17" x14ac:dyDescent="0.2">
      <c r="A8" s="5"/>
      <c r="B8" s="59"/>
      <c r="C8" s="60" t="s">
        <v>214</v>
      </c>
      <c r="D8" s="5"/>
    </row>
    <row r="9" spans="1:4" ht="17" x14ac:dyDescent="0.2">
      <c r="A9" s="5"/>
      <c r="B9" s="59"/>
      <c r="C9" s="60" t="s">
        <v>171</v>
      </c>
      <c r="D9" s="5"/>
    </row>
    <row r="10" spans="1:4" ht="17" x14ac:dyDescent="0.2">
      <c r="A10" s="5"/>
      <c r="B10" s="59"/>
      <c r="C10" s="60" t="s">
        <v>215</v>
      </c>
      <c r="D10" s="5"/>
    </row>
    <row r="11" spans="1:4" ht="18" thickBot="1" x14ac:dyDescent="0.25">
      <c r="A11" s="5"/>
      <c r="B11" s="14"/>
      <c r="C11" s="29" t="s">
        <v>170</v>
      </c>
      <c r="D11" s="5"/>
    </row>
    <row r="12" spans="1:4" ht="17" thickBot="1" x14ac:dyDescent="0.25">
      <c r="A12" s="5"/>
      <c r="B12" s="24"/>
      <c r="C12" s="25"/>
      <c r="D12" s="5"/>
    </row>
    <row r="13" spans="1:4" ht="17" x14ac:dyDescent="0.2">
      <c r="A13" s="5"/>
      <c r="B13" s="26" t="s">
        <v>221</v>
      </c>
      <c r="C13" s="27" t="s">
        <v>222</v>
      </c>
      <c r="D13" s="5"/>
    </row>
    <row r="14" spans="1:4" ht="34" x14ac:dyDescent="0.2">
      <c r="A14" s="5"/>
      <c r="B14" s="13"/>
      <c r="C14" s="28" t="s">
        <v>226</v>
      </c>
      <c r="D14" s="5"/>
    </row>
    <row r="15" spans="1:4" ht="34" x14ac:dyDescent="0.2">
      <c r="A15" s="5"/>
      <c r="B15" s="13"/>
      <c r="C15" s="28" t="s">
        <v>223</v>
      </c>
      <c r="D15" s="5"/>
    </row>
    <row r="16" spans="1:4" ht="17" x14ac:dyDescent="0.2">
      <c r="A16" s="5"/>
      <c r="B16" s="13"/>
      <c r="C16" s="28" t="s">
        <v>224</v>
      </c>
      <c r="D16" s="5"/>
    </row>
    <row r="17" spans="1:4" ht="18" thickBot="1" x14ac:dyDescent="0.25">
      <c r="A17" s="5"/>
      <c r="B17" s="59"/>
      <c r="C17" s="29" t="s">
        <v>225</v>
      </c>
      <c r="D17" s="5"/>
    </row>
    <row r="18" spans="1:4" ht="17" thickBot="1" x14ac:dyDescent="0.25">
      <c r="A18" s="5"/>
      <c r="B18" s="24"/>
      <c r="C18" s="25"/>
      <c r="D18" s="5"/>
    </row>
    <row r="19" spans="1:4" ht="17" x14ac:dyDescent="0.2">
      <c r="A19" s="5"/>
      <c r="B19" s="26" t="s">
        <v>228</v>
      </c>
      <c r="C19" s="60" t="s">
        <v>229</v>
      </c>
      <c r="D19" s="5"/>
    </row>
    <row r="20" spans="1:4" ht="17" x14ac:dyDescent="0.2">
      <c r="A20" s="5"/>
      <c r="B20" s="59"/>
      <c r="C20" s="60" t="s">
        <v>233</v>
      </c>
      <c r="D20" s="5"/>
    </row>
    <row r="21" spans="1:4" ht="17" x14ac:dyDescent="0.2">
      <c r="A21" s="5"/>
      <c r="B21" s="59"/>
      <c r="C21" s="60" t="s">
        <v>234</v>
      </c>
      <c r="D21" s="5"/>
    </row>
    <row r="22" spans="1:4" ht="18" thickBot="1" x14ac:dyDescent="0.25">
      <c r="A22" s="5"/>
      <c r="B22" s="59"/>
      <c r="C22" s="60" t="s">
        <v>236</v>
      </c>
      <c r="D22" s="5"/>
    </row>
    <row r="23" spans="1:4" ht="17" thickBot="1" x14ac:dyDescent="0.25">
      <c r="A23" s="5"/>
      <c r="B23" s="162"/>
      <c r="C23" s="163"/>
      <c r="D23" s="5"/>
    </row>
    <row r="24" spans="1:4" ht="17" x14ac:dyDescent="0.2">
      <c r="A24" s="5"/>
      <c r="B24" s="26" t="s">
        <v>241</v>
      </c>
      <c r="C24" s="27" t="s">
        <v>295</v>
      </c>
      <c r="D24" s="5"/>
    </row>
    <row r="25" spans="1:4" ht="17" x14ac:dyDescent="0.2">
      <c r="A25" s="5"/>
      <c r="B25" s="13"/>
      <c r="C25" s="167" t="s">
        <v>300</v>
      </c>
      <c r="D25" s="5"/>
    </row>
    <row r="26" spans="1:4" ht="17" x14ac:dyDescent="0.2">
      <c r="A26" s="5"/>
      <c r="B26" s="13"/>
      <c r="C26" s="28" t="s">
        <v>296</v>
      </c>
      <c r="D26" s="5"/>
    </row>
    <row r="27" spans="1:4" ht="17" x14ac:dyDescent="0.2">
      <c r="A27" s="5"/>
      <c r="B27" s="13"/>
      <c r="C27" s="28" t="s">
        <v>249</v>
      </c>
      <c r="D27" s="5"/>
    </row>
    <row r="28" spans="1:4" ht="17" x14ac:dyDescent="0.2">
      <c r="A28" s="5"/>
      <c r="B28" s="13"/>
      <c r="C28" s="28" t="s">
        <v>245</v>
      </c>
      <c r="D28" s="5"/>
    </row>
    <row r="29" spans="1:4" ht="17" x14ac:dyDescent="0.2">
      <c r="A29" s="5"/>
      <c r="B29" s="13"/>
      <c r="C29" s="28" t="s">
        <v>242</v>
      </c>
      <c r="D29" s="5"/>
    </row>
    <row r="30" spans="1:4" ht="19" customHeight="1" x14ac:dyDescent="0.2">
      <c r="A30" s="5"/>
      <c r="B30" s="13"/>
      <c r="C30" s="28" t="s">
        <v>243</v>
      </c>
      <c r="D30" s="5"/>
    </row>
    <row r="31" spans="1:4" ht="19" customHeight="1" x14ac:dyDescent="0.2">
      <c r="A31" s="5"/>
      <c r="B31" s="13"/>
      <c r="C31" s="28" t="s">
        <v>246</v>
      </c>
      <c r="D31" s="5"/>
    </row>
    <row r="32" spans="1:4" ht="17" x14ac:dyDescent="0.2">
      <c r="A32" s="5"/>
      <c r="B32" s="13"/>
      <c r="C32" s="28" t="s">
        <v>266</v>
      </c>
      <c r="D32" s="5"/>
    </row>
    <row r="33" spans="1:4" ht="17" x14ac:dyDescent="0.2">
      <c r="A33" s="5"/>
      <c r="B33" s="13"/>
      <c r="C33" s="28" t="s">
        <v>247</v>
      </c>
      <c r="D33" s="5"/>
    </row>
    <row r="34" spans="1:4" ht="17" x14ac:dyDescent="0.2">
      <c r="A34" s="5"/>
      <c r="B34" s="13"/>
      <c r="C34" s="28" t="s">
        <v>298</v>
      </c>
      <c r="D34" s="5"/>
    </row>
    <row r="35" spans="1:4" ht="17" x14ac:dyDescent="0.2">
      <c r="A35" s="5"/>
      <c r="B35" s="13"/>
      <c r="C35" s="28" t="s">
        <v>297</v>
      </c>
      <c r="D35" s="5"/>
    </row>
    <row r="36" spans="1:4" ht="17" x14ac:dyDescent="0.2">
      <c r="A36" s="5"/>
      <c r="B36" s="13"/>
      <c r="C36" s="28" t="s">
        <v>267</v>
      </c>
      <c r="D36" s="5"/>
    </row>
    <row r="37" spans="1:4" x14ac:dyDescent="0.2">
      <c r="A37" s="5"/>
      <c r="B37" s="13"/>
      <c r="C37" s="185" t="s">
        <v>299</v>
      </c>
      <c r="D37" s="5"/>
    </row>
    <row r="38" spans="1:4" ht="17" thickBot="1" x14ac:dyDescent="0.25">
      <c r="A38" s="5"/>
      <c r="B38" s="14"/>
      <c r="C38" s="186" t="s">
        <v>302</v>
      </c>
      <c r="D38" s="5"/>
    </row>
    <row r="39" spans="1:4" ht="17" thickBot="1" x14ac:dyDescent="0.25">
      <c r="A39" s="5"/>
      <c r="B39" s="162"/>
      <c r="C39" s="163"/>
      <c r="D39" s="5"/>
    </row>
    <row r="40" spans="1:4" ht="17" x14ac:dyDescent="0.2">
      <c r="B40" s="26" t="s">
        <v>304</v>
      </c>
      <c r="C40" s="27" t="s">
        <v>305</v>
      </c>
    </row>
    <row r="41" spans="1:4" ht="17" x14ac:dyDescent="0.2">
      <c r="B41" s="13"/>
      <c r="C41" s="167" t="s">
        <v>306</v>
      </c>
    </row>
    <row r="42" spans="1:4" ht="17" x14ac:dyDescent="0.2">
      <c r="B42" s="13"/>
      <c r="C42" s="28" t="s">
        <v>307</v>
      </c>
    </row>
    <row r="43" spans="1:4" ht="17" x14ac:dyDescent="0.2">
      <c r="B43" s="13"/>
      <c r="C43" s="28" t="s">
        <v>308</v>
      </c>
    </row>
    <row r="44" spans="1:4" ht="17" x14ac:dyDescent="0.2">
      <c r="B44" s="13"/>
      <c r="C44" s="28" t="s">
        <v>309</v>
      </c>
    </row>
    <row r="45" spans="1:4" ht="17" x14ac:dyDescent="0.2">
      <c r="B45" s="13"/>
      <c r="C45" s="28" t="s">
        <v>310</v>
      </c>
    </row>
    <row r="46" spans="1:4" ht="17" customHeight="1" thickBot="1" x14ac:dyDescent="0.25">
      <c r="B46" s="14"/>
      <c r="C46" s="29" t="s">
        <v>313</v>
      </c>
    </row>
  </sheetData>
  <sheetProtection algorithmName="SHA-512" hashValue="1up5jFDPNQS63Xz3mR0jrHAw5pnFB0d0LiQGxbyHnNZBrERGTEESbbxyCLflg8f6Bq4a/2VGE9xxTt0ukvInWA==" saltValue="EGCD+LyvTPN3YI7HwwTQFg==" spinCount="100000" sheet="1" objects="1" scenarios="1"/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V9 Calculator</vt:lpstr>
      <vt:lpstr>Production Detailed Report</vt:lpstr>
      <vt:lpstr>Development Detailed Report</vt:lpstr>
      <vt:lpstr>Predict Data Points</vt:lpstr>
      <vt:lpstr>Data Source</vt:lpstr>
      <vt:lpstr>Versions</vt:lpstr>
      <vt:lpstr>EnvironmentSizes</vt:lpstr>
      <vt:lpstr>MASData</vt:lpstr>
      <vt:lpstr>'Predict Data Points'!Print_Area</vt:lpstr>
      <vt:lpstr>'Production Detailed Report'!Print_Area</vt:lpstr>
      <vt:lpstr>'V9 Calculator'!Print_Area</vt:lpstr>
      <vt:lpstr>Versions!Print_Area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Campbell</dc:creator>
  <cp:lastModifiedBy>Scott Campbell</cp:lastModifiedBy>
  <cp:lastPrinted>2022-09-27T05:38:43Z</cp:lastPrinted>
  <dcterms:created xsi:type="dcterms:W3CDTF">2020-08-11T06:33:57Z</dcterms:created>
  <dcterms:modified xsi:type="dcterms:W3CDTF">2025-03-31T03:56:13Z</dcterms:modified>
</cp:coreProperties>
</file>