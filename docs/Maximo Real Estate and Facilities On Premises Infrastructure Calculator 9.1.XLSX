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dyb/Downloads/"/>
    </mc:Choice>
  </mc:AlternateContent>
  <xr:revisionPtr revIDLastSave="0" documentId="13_ncr:1_{19C06C58-C9D2-4747-8050-4431C770691B}" xr6:coauthVersionLast="47" xr6:coauthVersionMax="47" xr10:uidLastSave="{00000000-0000-0000-0000-000000000000}"/>
  <bookViews>
    <workbookView xWindow="0" yWindow="880" windowWidth="41120" windowHeight="25700" xr2:uid="{BE43DAD7-7525-4C43-8434-649D77803DED}"/>
  </bookViews>
  <sheets>
    <sheet name="Guidance" sheetId="9" r:id="rId1"/>
    <sheet name="V9.1 Calculator" sheetId="1" r:id="rId2"/>
    <sheet name="Load Calculation" sheetId="7" r:id="rId3"/>
    <sheet name="MREF Pod Sizing" sheetId="8" r:id="rId4"/>
    <sheet name="Versions" sheetId="4" r:id="rId5"/>
  </sheets>
  <externalReferences>
    <externalReference r:id="rId6"/>
  </externalReferences>
  <definedNames>
    <definedName name="EnvironmentSizes">'V9.1 Calculator'!$L$16:$L$23</definedName>
    <definedName name="MASData">#REF!</definedName>
    <definedName name="_xlnm.Print_Area" localSheetId="1">'V9.1 Calculator'!$L$15:$Q$86</definedName>
    <definedName name="_xlnm.Print_Area" localSheetId="4">Versions!$C$1:$D$6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3" i="1" l="1"/>
  <c r="N43" i="1"/>
  <c r="M43" i="1"/>
  <c r="H20" i="7"/>
  <c r="H30" i="7"/>
  <c r="H44" i="7"/>
  <c r="M21" i="7" l="1"/>
  <c r="M20" i="7"/>
  <c r="M19" i="7"/>
  <c r="M33" i="7" s="1"/>
  <c r="L21" i="7"/>
  <c r="L20" i="7"/>
  <c r="L19" i="7"/>
  <c r="L33" i="7" s="1"/>
  <c r="K21" i="7"/>
  <c r="K20" i="7"/>
  <c r="K19" i="7"/>
  <c r="K33" i="7" s="1"/>
  <c r="J21" i="7"/>
  <c r="J20" i="7"/>
  <c r="J19" i="7"/>
  <c r="J33" i="7" s="1"/>
  <c r="M41" i="1"/>
  <c r="O20" i="7" l="1"/>
  <c r="O19" i="7"/>
  <c r="O33" i="7" s="1"/>
  <c r="G55" i="7"/>
  <c r="O14" i="1" s="1"/>
  <c r="F55" i="7"/>
  <c r="M14" i="1" s="1"/>
  <c r="E55" i="7"/>
  <c r="N14" i="1" s="1"/>
  <c r="N21" i="7" l="1"/>
  <c r="N19" i="7"/>
  <c r="N33" i="7" s="1"/>
  <c r="O21" i="7"/>
  <c r="N20" i="7"/>
  <c r="C3" i="7" l="1"/>
  <c r="E3" i="7" s="1"/>
  <c r="C2" i="7"/>
  <c r="E2" i="7" s="1"/>
  <c r="E5" i="7" l="1"/>
  <c r="P27" i="1" l="1"/>
  <c r="P28" i="1" s="1"/>
  <c r="P13" i="1" s="1"/>
  <c r="O16" i="1"/>
  <c r="N16" i="1"/>
  <c r="M16" i="1"/>
  <c r="G5" i="7"/>
  <c r="O63" i="1" l="1"/>
  <c r="B27" i="1" l="1"/>
  <c r="O77" i="1"/>
  <c r="B24" i="1"/>
  <c r="M74" i="1" l="1"/>
  <c r="M75" i="1"/>
  <c r="M76" i="1"/>
  <c r="M77" i="1"/>
  <c r="M78" i="1"/>
  <c r="B21" i="1" l="1"/>
  <c r="B35" i="1" l="1"/>
  <c r="B36" i="1"/>
  <c r="B32" i="1"/>
  <c r="P52" i="1"/>
  <c r="N52" i="1"/>
  <c r="O52" i="1"/>
  <c r="M70" i="1"/>
  <c r="M67" i="1"/>
  <c r="M72" i="1"/>
  <c r="M69" i="1"/>
  <c r="M71" i="1"/>
  <c r="M68" i="1"/>
  <c r="P65" i="1"/>
  <c r="L41" i="1"/>
  <c r="L16" i="1"/>
  <c r="B41" i="1" l="1"/>
  <c r="P53" i="1" s="1"/>
  <c r="B40" i="1"/>
  <c r="B42" i="1"/>
  <c r="N53" i="1" l="1"/>
  <c r="O53" i="1"/>
  <c r="L53" i="1"/>
  <c r="L57" i="1"/>
  <c r="O70" i="1" l="1"/>
  <c r="P24" i="1" l="1"/>
  <c r="B45" i="1" l="1"/>
  <c r="B37" i="1" l="1"/>
  <c r="L52" i="1" s="1"/>
  <c r="M24" i="1"/>
  <c r="M39" i="1" s="1"/>
  <c r="N50" i="1" l="1"/>
  <c r="N24" i="1" l="1"/>
  <c r="N39" i="1" s="1"/>
  <c r="O24" i="1"/>
  <c r="O39" i="1" s="1"/>
  <c r="O43" i="1" s="1"/>
  <c r="N13" i="1" l="1"/>
  <c r="O13" i="1"/>
  <c r="P39" i="1"/>
  <c r="M13" i="1"/>
  <c r="P46" i="1" l="1"/>
  <c r="N55" i="1" s="1"/>
  <c r="M46" i="1"/>
  <c r="B30" i="1" s="1"/>
  <c r="O46" i="1"/>
  <c r="N54" i="1" s="1"/>
  <c r="N46" i="1"/>
  <c r="B31" i="1" s="1"/>
  <c r="P51" i="1" l="1"/>
  <c r="L51" i="1" l="1"/>
  <c r="N51" i="1"/>
  <c r="O51" i="1"/>
  <c r="L5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</author>
  </authors>
  <commentList>
    <comment ref="O49" authorId="0" shapeId="0" xr:uid="{BF8B64B5-E9A2-4646-A2F0-6C19B9FE5769}">
      <text>
        <r>
          <rPr>
            <sz val="9"/>
            <color rgb="FF000000"/>
            <rFont val="Tahoma"/>
            <family val="2"/>
          </rPr>
          <t xml:space="preserve">Determines which attribute is driving the node count requirements and highlights the attribute with green background.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49" authorId="0" shapeId="0" xr:uid="{989303D8-C7BE-4222-8088-75C19FE7292D}">
      <text>
        <r>
          <rPr>
            <sz val="9"/>
            <color rgb="FF000000"/>
            <rFont val="Tahoma"/>
            <family val="2"/>
          </rPr>
          <t>Determines which attribute is driving the node count requirements and highlights the attribute with green background.</t>
        </r>
      </text>
    </comment>
  </commentList>
</comments>
</file>

<file path=xl/sharedStrings.xml><?xml version="1.0" encoding="utf-8"?>
<sst xmlns="http://schemas.openxmlformats.org/spreadsheetml/2006/main" count="232" uniqueCount="148">
  <si>
    <t xml:space="preserve">Calculations </t>
  </si>
  <si>
    <t>Use (Y/N)</t>
  </si>
  <si>
    <t>Quantity</t>
  </si>
  <si>
    <t>Size Metric</t>
  </si>
  <si>
    <t>Applications</t>
  </si>
  <si>
    <t>Y</t>
  </si>
  <si>
    <t>N</t>
  </si>
  <si>
    <t>Memory</t>
  </si>
  <si>
    <t>Storage</t>
  </si>
  <si>
    <t xml:space="preserve">Total Application Quantities:  </t>
  </si>
  <si>
    <t>Primary</t>
  </si>
  <si>
    <t>Each System Configuration</t>
  </si>
  <si>
    <r>
      <rPr>
        <vertAlign val="superscript"/>
        <sz val="12"/>
        <color theme="1"/>
        <rFont val="Calibri (Body)"/>
      </rPr>
      <t>1</t>
    </r>
    <r>
      <rPr>
        <b/>
        <sz val="12"/>
        <color theme="1"/>
        <rFont val="Calibri"/>
        <family val="2"/>
        <scheme val="minor"/>
      </rPr>
      <t>Users</t>
    </r>
    <r>
      <rPr>
        <sz val="12"/>
        <color theme="1"/>
        <rFont val="Calibri"/>
        <family val="2"/>
        <scheme val="minor"/>
      </rPr>
      <t xml:space="preserve">:   Users are defined as </t>
    </r>
    <r>
      <rPr>
        <b/>
        <sz val="12"/>
        <color theme="1"/>
        <rFont val="Calibri"/>
        <family val="2"/>
        <scheme val="minor"/>
      </rPr>
      <t>*concurrent*</t>
    </r>
    <r>
      <rPr>
        <sz val="12"/>
        <color theme="1"/>
        <rFont val="Calibri"/>
        <family val="2"/>
        <scheme val="minor"/>
      </rPr>
      <t xml:space="preserve"> users when sizing the infrastructure requirements</t>
    </r>
  </si>
  <si>
    <t>TOTALS</t>
  </si>
  <si>
    <t>Version</t>
  </si>
  <si>
    <t>Updates</t>
  </si>
  <si>
    <t xml:space="preserve">Installing into Existing OpenShift? </t>
  </si>
  <si>
    <t xml:space="preserve">Enforce 3 Master + 2 Worker Nodes? </t>
  </si>
  <si>
    <t>System Quantity</t>
  </si>
  <si>
    <t>File Storage</t>
  </si>
  <si>
    <t>DB Storage</t>
  </si>
  <si>
    <t>Number of Development Environments</t>
  </si>
  <si>
    <t xml:space="preserve">Application Sizing </t>
  </si>
  <si>
    <t>Additional Application Sizing</t>
  </si>
  <si>
    <t>Total Production Cluster Requirements</t>
  </si>
  <si>
    <t>Isolate GPU?</t>
  </si>
  <si>
    <t>Selections</t>
  </si>
  <si>
    <t>Total Dev Cluster(s) Requirements</t>
  </si>
  <si>
    <t>Production Cluster Configuration</t>
  </si>
  <si>
    <t>Development Cluster(s) Configuration</t>
  </si>
  <si>
    <t>Memory Factor</t>
  </si>
  <si>
    <t>Enforce Dev DBStorage = Prod DBStorag?</t>
  </si>
  <si>
    <t>vCPU</t>
  </si>
  <si>
    <t xml:space="preserve">vCPU Factor </t>
  </si>
  <si>
    <t>Memory (GiB)</t>
  </si>
  <si>
    <t>File Storage (GiB)</t>
  </si>
  <si>
    <t>DB2 Storage (GiB)</t>
  </si>
  <si>
    <t>vCPUs per Socket</t>
  </si>
  <si>
    <t>CPU Socket Count</t>
  </si>
  <si>
    <t>CP4D Needed?</t>
  </si>
  <si>
    <t>Isolate DB?</t>
  </si>
  <si>
    <t>Main Conf</t>
  </si>
  <si>
    <t>MVI Conf</t>
  </si>
  <si>
    <t>DB Conf</t>
  </si>
  <si>
    <t>Total File System Storage (GiB)</t>
  </si>
  <si>
    <t>Total DB Storage (GiB)</t>
  </si>
  <si>
    <t>System Configuration Results</t>
  </si>
  <si>
    <t>Beyond Large</t>
  </si>
  <si>
    <r>
      <t>vCPUs</t>
    </r>
    <r>
      <rPr>
        <b/>
        <vertAlign val="superscript"/>
        <sz val="12"/>
        <color theme="1"/>
        <rFont val="Calibri"/>
        <family val="2"/>
        <scheme val="minor"/>
      </rPr>
      <t>5</t>
    </r>
  </si>
  <si>
    <t>New Calculator - Major Update - Many Changes</t>
  </si>
  <si>
    <t>OpenShift Master Node Requirements</t>
  </si>
  <si>
    <t>Production Cluster TOTALS</t>
  </si>
  <si>
    <r>
      <t xml:space="preserve">***For </t>
    </r>
    <r>
      <rPr>
        <b/>
        <sz val="14"/>
        <color rgb="FFFF0000"/>
        <rFont val="Calibri (Body)"/>
      </rPr>
      <t>GUIDANCE</t>
    </r>
    <r>
      <rPr>
        <b/>
        <sz val="14"/>
        <color theme="1"/>
        <rFont val="Calibri"/>
        <family val="2"/>
        <scheme val="minor"/>
      </rPr>
      <t xml:space="preserve"> Purpose Only***  -  Enter Inputs in Yellow Cells Only</t>
    </r>
  </si>
  <si>
    <t>Secondary (Optional)</t>
  </si>
  <si>
    <t xml:space="preserve">Install TRIRIGA w/Existing Database? </t>
  </si>
  <si>
    <t>Environment Size</t>
  </si>
  <si>
    <t>v11_5</t>
  </si>
  <si>
    <t>Configure Users</t>
  </si>
  <si>
    <t>Base Users</t>
  </si>
  <si>
    <t>Limited Users</t>
  </si>
  <si>
    <t>Self Service Users</t>
  </si>
  <si>
    <t>Active Leases</t>
  </si>
  <si>
    <t>User Load</t>
  </si>
  <si>
    <t>Lease Load</t>
  </si>
  <si>
    <t>Calculated Environment Size</t>
  </si>
  <si>
    <t>user load</t>
  </si>
  <si>
    <t>leases</t>
  </si>
  <si>
    <t>Small</t>
  </si>
  <si>
    <t>Medium</t>
  </si>
  <si>
    <t>Large</t>
  </si>
  <si>
    <t>XL</t>
  </si>
  <si>
    <t>Overal Environment</t>
  </si>
  <si>
    <t>Size</t>
  </si>
  <si>
    <t>Env</t>
  </si>
  <si>
    <t>VPC</t>
  </si>
  <si>
    <t>Master nodes x 3</t>
  </si>
  <si>
    <t>Caculated Master Nodes</t>
  </si>
  <si>
    <t>Database Storage</t>
  </si>
  <si>
    <t>Existing DB</t>
  </si>
  <si>
    <t>Production</t>
  </si>
  <si>
    <t>Test (assume small)</t>
  </si>
  <si>
    <t>Test (assume small in all cases)</t>
  </si>
  <si>
    <t xml:space="preserve">Master Node Totals: 12 vCPUs | 48GB Mem | 360GB Storage
Each Mastr Node: vCPUs=4, Mem=16GB, Storage=120GB
</t>
  </si>
  <si>
    <t xml:space="preserve">                     Production + Development Cluster Configuration</t>
  </si>
  <si>
    <t>OpenShift Worker Node Configuration</t>
  </si>
  <si>
    <t>Doc Storage Size GB</t>
  </si>
  <si>
    <t>CP4D Base</t>
  </si>
  <si>
    <t>v11_5.1</t>
  </si>
  <si>
    <t>made calculations a bit more granular for later needs</t>
  </si>
  <si>
    <t>v11_5.2</t>
  </si>
  <si>
    <t>Updated Database Calculations</t>
  </si>
  <si>
    <t>IBM® Maximo Real Estate and Facilities Infrastructure Calculator - v11_5</t>
  </si>
  <si>
    <t>UI App Server / Data Import Agent</t>
  </si>
  <si>
    <t>All other Agents</t>
  </si>
  <si>
    <t>Pod</t>
  </si>
  <si>
    <t>vpc</t>
  </si>
  <si>
    <t xml:space="preserve">memory </t>
  </si>
  <si>
    <t>storage</t>
  </si>
  <si>
    <t>Database</t>
  </si>
  <si>
    <t xml:space="preserve">WF Agent </t>
  </si>
  <si>
    <t>Report Queue Agent</t>
  </si>
  <si>
    <t>Data Connect Agent</t>
  </si>
  <si>
    <t>Extended Formula Agent</t>
  </si>
  <si>
    <t>Formula Recalc Agent</t>
  </si>
  <si>
    <t>Incoming Mail Agent</t>
  </si>
  <si>
    <t>Object Migration Agent</t>
  </si>
  <si>
    <t>Object Publish Agent</t>
  </si>
  <si>
    <t>Maintenance Agent</t>
  </si>
  <si>
    <t>Reserve SMTP Agent</t>
  </si>
  <si>
    <t>Wf Future Agent</t>
  </si>
  <si>
    <t>WF Notification Agent</t>
  </si>
  <si>
    <t>Additional storage contingency</t>
  </si>
  <si>
    <t>This needs to be used alongside the Maximo Application Suite Sizing Calculator (it will be merged in soon)</t>
  </si>
  <si>
    <t>a</t>
  </si>
  <si>
    <t>b</t>
  </si>
  <si>
    <t xml:space="preserve">At least one worker node needs to be greater than the biggest pod, preferably 2 for failover </t>
  </si>
  <si>
    <t>In good deployments, the database is typically assigned its own worker node but this calculator does not do that, just gives you the minimum to run everything</t>
  </si>
  <si>
    <t>c</t>
  </si>
  <si>
    <t>Depending on the customer, the agent sizings may have to be different (some could be shrunk to 0.2 VPC and 2GB memory if they are not used)</t>
  </si>
  <si>
    <t>d</t>
  </si>
  <si>
    <t>Change the pod sizings (VPC, Memory and Storage) based on specific customer requirements and expected usage patterns</t>
  </si>
  <si>
    <t>e</t>
  </si>
  <si>
    <t>This tool is a blunt instrument for guidance only - please consider the following when inspecting the output</t>
  </si>
  <si>
    <t>A development environment is assumed to be a small environment</t>
  </si>
  <si>
    <t>Each customer will have Worker Node size optimisations depending on their contracts with cloud providers or hardware providers</t>
  </si>
  <si>
    <t>f</t>
  </si>
  <si>
    <t>Change the worker node sizes on the v9.1 Calculator tab in the yellow boxes at the bottom to match their preferences</t>
  </si>
  <si>
    <t>Notes on usage of the Maximo Real Estate and Facilities 9.1 Infrastructure Calculator</t>
  </si>
  <si>
    <t>Changed to support Maximo Real Estate and Facilities 9.1</t>
  </si>
  <si>
    <t>v9.1</t>
  </si>
  <si>
    <t>Rebaselined to support Maximo Real Estate and Facilities 9.1</t>
  </si>
  <si>
    <t>Users are concurrent users using the system at the same time not registered users (concurrent here doesn't mean licensing type of concurrent vs authorised)</t>
  </si>
  <si>
    <t>Size of environment is derived from concurrent users and number of active leases</t>
  </si>
  <si>
    <t>Document manager storage is added to the database storage calculation - if you are using a CMIS ECM then leave Document Management Storage as 0</t>
  </si>
  <si>
    <t>Master node calculations have been left in (for now) but use the ones from the Maximo Application Suite Sizing Calculator</t>
  </si>
  <si>
    <t>All pre-requisite components for MAS for MREF will need to be calculated using the Maximo Application Suite Sizing Calculator</t>
  </si>
  <si>
    <t>Real Estate and Facilities Database</t>
  </si>
  <si>
    <t>Can be used with an external (existing or new) database by setting cell F7 to Y</t>
  </si>
  <si>
    <t>&lt;-- Do not change</t>
  </si>
  <si>
    <t>Feedback and comments to campbesc@us.ibm.com andy_barnes@uk.ibm.com</t>
  </si>
  <si>
    <t>This should be completed by a Tech Seller engaging with the client to clarify requirements to input this spreadsheet (and interpret what they say)</t>
  </si>
  <si>
    <t>g</t>
  </si>
  <si>
    <t>Check back often as this sizing calculaltor will be merged at some point with the Maximo Application Suite Infrastructure Calculator</t>
  </si>
  <si>
    <t>Change this sheet to match the expected sizings for your particular client for the environment size you expect!</t>
  </si>
  <si>
    <t>Moved to MREF Pod Sizing sheet</t>
  </si>
  <si>
    <t>h</t>
  </si>
  <si>
    <t>Do NOT change cell F16 (next to Environment Size) - it doesn't do anything</t>
  </si>
  <si>
    <t>&lt;- Do not use this line, use the one from the MAS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</si>
</sst>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(* #,##0_);_(* \(#,##0\);_(* &quot;-&quot;??_);_(@_)"/>
    <numFmt numFmtId="166" formatCode="&quot;$&quot;#,##0.00"/>
    <numFmt numFmtId="167" formatCode="_(&quot;$&quot;* #,##0.0000_);_(&quot;$&quot;* \(#,##0.0000\);_(&quot;$&quot;* &quot;-&quot;??_);_(@_)"/>
    <numFmt numFmtId="168" formatCode="#,###;[Red]\(#,###\);&quot;-&quot;"/>
    <numFmt numFmtId="169" formatCode="#,###.###;[Red]\(#,###\);&quot;-&quot;"/>
    <numFmt numFmtId="170" formatCode="General;[Red]\(#,###.#\);&quot;-&quot;"/>
    <numFmt numFmtId="171" formatCode="#,###.0##;[Red]\(#,###\);&quot;-&quot;"/>
    <numFmt numFmtId="172" formatCode="_(* #,##0.0_);_(* \(#,##0.0\);_(* &quot;-&quot;??_);_(@_)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2"/>
      <color theme="1"/>
      <name val="Calibri (Body)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9"/>
      <color rgb="FF000000"/>
      <name val="Tahoma"/>
      <family val="2"/>
    </font>
    <font>
      <sz val="12"/>
      <color rgb="FFFFFF00"/>
      <name val="Calibri"/>
      <family val="2"/>
      <scheme val="minor"/>
    </font>
    <font>
      <b/>
      <sz val="14"/>
      <color rgb="FFFF0000"/>
      <name val="Calibri (Body)"/>
    </font>
    <font>
      <sz val="12"/>
      <color rgb="FFFF00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AD7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dashDot">
        <color auto="1"/>
      </top>
      <bottom/>
      <diagonal/>
    </border>
    <border>
      <left style="thin">
        <color theme="1"/>
      </left>
      <right style="thin">
        <color theme="1"/>
      </right>
      <top style="dashDot">
        <color auto="1"/>
      </top>
      <bottom/>
      <diagonal/>
    </border>
    <border>
      <left style="medium">
        <color indexed="64"/>
      </left>
      <right/>
      <top style="dashDot">
        <color auto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dashDot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dashDot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dashDot">
        <color auto="1"/>
      </top>
      <bottom/>
      <diagonal/>
    </border>
    <border>
      <left/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/>
      <top style="dashDot">
        <color auto="1"/>
      </top>
      <bottom style="dashDot">
        <color indexed="64"/>
      </bottom>
      <diagonal/>
    </border>
    <border>
      <left/>
      <right style="medium">
        <color indexed="64"/>
      </right>
      <top style="dashDot">
        <color auto="1"/>
      </top>
      <bottom style="dash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">
        <color auto="1"/>
      </bottom>
      <diagonal/>
    </border>
    <border>
      <left/>
      <right style="medium">
        <color indexed="64"/>
      </right>
      <top style="medium">
        <color indexed="64"/>
      </top>
      <bottom style="dashDot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19" borderId="0" applyNumberFormat="0" applyBorder="0" applyAlignment="0" applyProtection="0"/>
    <xf numFmtId="0" fontId="21" fillId="20" borderId="0" applyNumberFormat="0" applyBorder="0" applyAlignment="0" applyProtection="0"/>
    <xf numFmtId="0" fontId="22" fillId="21" borderId="0" applyNumberFormat="0" applyBorder="0" applyAlignment="0" applyProtection="0"/>
  </cellStyleXfs>
  <cellXfs count="237">
    <xf numFmtId="0" fontId="0" fillId="0" borderId="0" xfId="0"/>
    <xf numFmtId="0" fontId="2" fillId="0" borderId="3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6" fontId="0" fillId="0" borderId="0" xfId="0" applyNumberFormat="1"/>
    <xf numFmtId="0" fontId="2" fillId="0" borderId="10" xfId="0" applyFont="1" applyBorder="1" applyAlignment="1">
      <alignment horizontal="center"/>
    </xf>
    <xf numFmtId="0" fontId="10" fillId="0" borderId="0" xfId="0" applyFont="1" applyProtection="1">
      <protection locked="0"/>
    </xf>
    <xf numFmtId="0" fontId="0" fillId="0" borderId="0" xfId="0" applyProtection="1">
      <protection hidden="1"/>
    </xf>
    <xf numFmtId="0" fontId="0" fillId="0" borderId="7" xfId="0" applyBorder="1" applyProtection="1">
      <protection hidden="1"/>
    </xf>
    <xf numFmtId="0" fontId="0" fillId="0" borderId="19" xfId="0" applyBorder="1" applyProtection="1">
      <protection hidden="1"/>
    </xf>
    <xf numFmtId="0" fontId="10" fillId="0" borderId="0" xfId="0" applyFont="1" applyProtection="1">
      <protection hidden="1"/>
    </xf>
    <xf numFmtId="0" fontId="2" fillId="0" borderId="4" xfId="0" applyFont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57" xfId="0" applyFill="1" applyBorder="1" applyAlignment="1" applyProtection="1">
      <alignment horizontal="center"/>
      <protection locked="0"/>
    </xf>
    <xf numFmtId="0" fontId="2" fillId="0" borderId="32" xfId="0" applyFont="1" applyBorder="1" applyProtection="1">
      <protection hidden="1"/>
    </xf>
    <xf numFmtId="0" fontId="2" fillId="0" borderId="32" xfId="0" applyFont="1" applyBorder="1" applyAlignment="1" applyProtection="1">
      <alignment horizontal="center" wrapText="1"/>
      <protection hidden="1"/>
    </xf>
    <xf numFmtId="0" fontId="2" fillId="5" borderId="14" xfId="0" applyFont="1" applyFill="1" applyBorder="1" applyProtection="1">
      <protection hidden="1"/>
    </xf>
    <xf numFmtId="0" fontId="0" fillId="0" borderId="16" xfId="0" applyBorder="1" applyAlignment="1" applyProtection="1">
      <alignment wrapText="1"/>
      <protection hidden="1"/>
    </xf>
    <xf numFmtId="0" fontId="0" fillId="0" borderId="9" xfId="0" applyBorder="1" applyAlignment="1" applyProtection="1">
      <alignment wrapText="1"/>
      <protection hidden="1"/>
    </xf>
    <xf numFmtId="0" fontId="0" fillId="0" borderId="21" xfId="0" applyBorder="1" applyAlignment="1" applyProtection="1">
      <alignment wrapText="1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0" fillId="0" borderId="10" xfId="0" applyBorder="1"/>
    <xf numFmtId="0" fontId="0" fillId="0" borderId="17" xfId="0" applyBorder="1"/>
    <xf numFmtId="0" fontId="0" fillId="0" borderId="22" xfId="0" applyBorder="1"/>
    <xf numFmtId="0" fontId="2" fillId="0" borderId="0" xfId="0" applyFont="1" applyAlignment="1" applyProtection="1">
      <alignment horizontal="right"/>
      <protection hidden="1"/>
    </xf>
    <xf numFmtId="165" fontId="0" fillId="10" borderId="48" xfId="1" applyNumberFormat="1" applyFont="1" applyFill="1" applyBorder="1" applyAlignment="1" applyProtection="1">
      <alignment horizontal="center"/>
    </xf>
    <xf numFmtId="165" fontId="0" fillId="10" borderId="38" xfId="1" applyNumberFormat="1" applyFont="1" applyFill="1" applyBorder="1" applyAlignment="1" applyProtection="1">
      <alignment horizontal="center"/>
    </xf>
    <xf numFmtId="0" fontId="2" fillId="0" borderId="5" xfId="0" applyFont="1" applyBorder="1"/>
    <xf numFmtId="0" fontId="0" fillId="14" borderId="45" xfId="0" applyFill="1" applyBorder="1" applyAlignment="1" applyProtection="1">
      <alignment horizontal="right"/>
      <protection hidden="1"/>
    </xf>
    <xf numFmtId="0" fontId="0" fillId="14" borderId="10" xfId="0" applyFill="1" applyBorder="1" applyAlignment="1" applyProtection="1">
      <alignment horizontal="right"/>
      <protection hidden="1"/>
    </xf>
    <xf numFmtId="0" fontId="0" fillId="14" borderId="47" xfId="0" applyFill="1" applyBorder="1" applyAlignment="1" applyProtection="1">
      <alignment horizontal="right"/>
      <protection hidden="1"/>
    </xf>
    <xf numFmtId="0" fontId="0" fillId="14" borderId="46" xfId="0" applyFill="1" applyBorder="1" applyAlignment="1" applyProtection="1">
      <alignment horizontal="right"/>
      <protection hidden="1"/>
    </xf>
    <xf numFmtId="0" fontId="2" fillId="0" borderId="10" xfId="0" applyFont="1" applyBorder="1" applyAlignment="1">
      <alignment wrapText="1"/>
    </xf>
    <xf numFmtId="0" fontId="0" fillId="11" borderId="44" xfId="0" applyFill="1" applyBorder="1" applyAlignment="1" applyProtection="1">
      <alignment horizontal="right"/>
      <protection hidden="1"/>
    </xf>
    <xf numFmtId="0" fontId="0" fillId="0" borderId="22" xfId="0" applyBorder="1" applyProtection="1">
      <protection hidden="1"/>
    </xf>
    <xf numFmtId="0" fontId="0" fillId="9" borderId="45" xfId="0" applyFill="1" applyBorder="1" applyAlignment="1" applyProtection="1">
      <alignment horizontal="right"/>
      <protection hidden="1"/>
    </xf>
    <xf numFmtId="0" fontId="2" fillId="0" borderId="0" xfId="0" applyFont="1"/>
    <xf numFmtId="0" fontId="2" fillId="3" borderId="0" xfId="0" applyFont="1" applyFill="1" applyAlignment="1" applyProtection="1">
      <alignment horizontal="center"/>
      <protection hidden="1"/>
    </xf>
    <xf numFmtId="0" fontId="0" fillId="0" borderId="64" xfId="0" applyBorder="1" applyProtection="1">
      <protection hidden="1"/>
    </xf>
    <xf numFmtId="0" fontId="0" fillId="0" borderId="29" xfId="0" applyBorder="1" applyAlignment="1" applyProtection="1">
      <alignment wrapText="1"/>
      <protection hidden="1"/>
    </xf>
    <xf numFmtId="0" fontId="2" fillId="15" borderId="7" xfId="0" applyFont="1" applyFill="1" applyBorder="1" applyAlignment="1" applyProtection="1">
      <alignment horizontal="center"/>
      <protection hidden="1"/>
    </xf>
    <xf numFmtId="0" fontId="0" fillId="9" borderId="10" xfId="0" applyFill="1" applyBorder="1" applyAlignment="1" applyProtection="1">
      <alignment horizontal="right"/>
      <protection hidden="1"/>
    </xf>
    <xf numFmtId="0" fontId="0" fillId="9" borderId="46" xfId="0" applyFill="1" applyBorder="1" applyAlignment="1" applyProtection="1">
      <alignment horizontal="right"/>
      <protection hidden="1"/>
    </xf>
    <xf numFmtId="168" fontId="6" fillId="4" borderId="5" xfId="1" applyNumberFormat="1" applyFont="1" applyFill="1" applyBorder="1" applyAlignment="1" applyProtection="1">
      <alignment horizontal="center"/>
      <protection hidden="1"/>
    </xf>
    <xf numFmtId="168" fontId="6" fillId="4" borderId="0" xfId="1" applyNumberFormat="1" applyFont="1" applyFill="1" applyBorder="1" applyAlignment="1" applyProtection="1">
      <alignment horizontal="center"/>
      <protection hidden="1"/>
    </xf>
    <xf numFmtId="168" fontId="6" fillId="13" borderId="23" xfId="1" applyNumberFormat="1" applyFont="1" applyFill="1" applyBorder="1" applyAlignment="1" applyProtection="1">
      <alignment horizontal="center" vertical="center"/>
      <protection hidden="1"/>
    </xf>
    <xf numFmtId="168" fontId="0" fillId="2" borderId="9" xfId="1" applyNumberFormat="1" applyFont="1" applyFill="1" applyBorder="1" applyAlignment="1" applyProtection="1">
      <alignment horizontal="center"/>
      <protection locked="0"/>
    </xf>
    <xf numFmtId="168" fontId="0" fillId="2" borderId="16" xfId="1" applyNumberFormat="1" applyFont="1" applyFill="1" applyBorder="1" applyAlignment="1" applyProtection="1">
      <alignment horizontal="center"/>
      <protection locked="0"/>
    </xf>
    <xf numFmtId="170" fontId="2" fillId="15" borderId="32" xfId="0" applyNumberFormat="1" applyFont="1" applyFill="1" applyBorder="1" applyAlignment="1" applyProtection="1">
      <alignment horizontal="center"/>
      <protection hidden="1"/>
    </xf>
    <xf numFmtId="170" fontId="0" fillId="4" borderId="44" xfId="0" applyNumberFormat="1" applyFill="1" applyBorder="1" applyAlignment="1" applyProtection="1">
      <alignment horizontal="center" vertical="top" readingOrder="1"/>
      <protection hidden="1"/>
    </xf>
    <xf numFmtId="170" fontId="0" fillId="4" borderId="45" xfId="0" applyNumberFormat="1" applyFill="1" applyBorder="1" applyAlignment="1" applyProtection="1">
      <alignment horizontal="center" vertical="top" readingOrder="1"/>
      <protection hidden="1"/>
    </xf>
    <xf numFmtId="170" fontId="0" fillId="4" borderId="45" xfId="0" applyNumberFormat="1" applyFill="1" applyBorder="1" applyAlignment="1" applyProtection="1">
      <alignment horizontal="center"/>
      <protection hidden="1"/>
    </xf>
    <xf numFmtId="170" fontId="2" fillId="3" borderId="32" xfId="0" applyNumberFormat="1" applyFont="1" applyFill="1" applyBorder="1" applyAlignment="1" applyProtection="1">
      <alignment horizontal="center" vertical="top" readingOrder="1"/>
      <protection hidden="1"/>
    </xf>
    <xf numFmtId="170" fontId="2" fillId="3" borderId="3" xfId="0" applyNumberFormat="1" applyFont="1" applyFill="1" applyBorder="1" applyAlignment="1" applyProtection="1">
      <alignment horizontal="center"/>
      <protection hidden="1"/>
    </xf>
    <xf numFmtId="170" fontId="0" fillId="0" borderId="44" xfId="0" applyNumberFormat="1" applyBorder="1" applyAlignment="1" applyProtection="1">
      <alignment horizontal="center"/>
      <protection hidden="1"/>
    </xf>
    <xf numFmtId="170" fontId="0" fillId="0" borderId="31" xfId="0" applyNumberFormat="1" applyBorder="1" applyAlignment="1" applyProtection="1">
      <alignment horizontal="center"/>
      <protection hidden="1"/>
    </xf>
    <xf numFmtId="170" fontId="0" fillId="0" borderId="45" xfId="0" applyNumberFormat="1" applyBorder="1" applyAlignment="1" applyProtection="1">
      <alignment horizontal="center"/>
      <protection hidden="1"/>
    </xf>
    <xf numFmtId="170" fontId="0" fillId="0" borderId="48" xfId="0" applyNumberFormat="1" applyBorder="1" applyAlignment="1" applyProtection="1">
      <alignment horizontal="center"/>
      <protection hidden="1"/>
    </xf>
    <xf numFmtId="170" fontId="0" fillId="4" borderId="46" xfId="0" applyNumberFormat="1" applyFill="1" applyBorder="1" applyAlignment="1" applyProtection="1">
      <alignment horizontal="center"/>
      <protection hidden="1"/>
    </xf>
    <xf numFmtId="170" fontId="2" fillId="3" borderId="22" xfId="0" applyNumberFormat="1" applyFont="1" applyFill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6" xfId="0" applyNumberFormat="1" applyBorder="1" applyAlignment="1" applyProtection="1">
      <alignment horizontal="center"/>
      <protection hidden="1"/>
    </xf>
    <xf numFmtId="170" fontId="0" fillId="4" borderId="38" xfId="0" applyNumberFormat="1" applyFill="1" applyBorder="1" applyAlignment="1" applyProtection="1">
      <alignment horizontal="center"/>
      <protection hidden="1"/>
    </xf>
    <xf numFmtId="170" fontId="2" fillId="15" borderId="20" xfId="0" applyNumberFormat="1" applyFont="1" applyFill="1" applyBorder="1" applyAlignment="1" applyProtection="1">
      <alignment horizontal="center"/>
      <protection hidden="1"/>
    </xf>
    <xf numFmtId="170" fontId="2" fillId="5" borderId="20" xfId="0" applyNumberFormat="1" applyFont="1" applyFill="1" applyBorder="1" applyAlignment="1" applyProtection="1">
      <alignment horizontal="center"/>
      <protection hidden="1"/>
    </xf>
    <xf numFmtId="171" fontId="0" fillId="7" borderId="53" xfId="0" applyNumberFormat="1" applyFill="1" applyBorder="1" applyAlignment="1" applyProtection="1">
      <alignment horizontal="center" wrapText="1"/>
      <protection hidden="1"/>
    </xf>
    <xf numFmtId="171" fontId="0" fillId="7" borderId="54" xfId="0" applyNumberFormat="1" applyFill="1" applyBorder="1" applyAlignment="1" applyProtection="1">
      <alignment horizontal="center"/>
      <protection hidden="1"/>
    </xf>
    <xf numFmtId="168" fontId="6" fillId="4" borderId="2" xfId="1" applyNumberFormat="1" applyFont="1" applyFill="1" applyBorder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171" fontId="0" fillId="6" borderId="70" xfId="0" applyNumberFormat="1" applyFill="1" applyBorder="1" applyAlignment="1" applyProtection="1">
      <alignment horizontal="center"/>
      <protection hidden="1"/>
    </xf>
    <xf numFmtId="171" fontId="0" fillId="6" borderId="71" xfId="0" applyNumberFormat="1" applyFill="1" applyBorder="1" applyAlignment="1" applyProtection="1">
      <alignment horizontal="center"/>
      <protection hidden="1"/>
    </xf>
    <xf numFmtId="168" fontId="6" fillId="6" borderId="79" xfId="1" applyNumberFormat="1" applyFont="1" applyFill="1" applyBorder="1" applyAlignment="1" applyProtection="1">
      <alignment horizontal="center"/>
      <protection hidden="1"/>
    </xf>
    <xf numFmtId="171" fontId="0" fillId="6" borderId="67" xfId="0" applyNumberFormat="1" applyFill="1" applyBorder="1" applyAlignment="1" applyProtection="1">
      <alignment horizontal="center"/>
      <protection hidden="1"/>
    </xf>
    <xf numFmtId="171" fontId="0" fillId="6" borderId="68" xfId="0" applyNumberFormat="1" applyFill="1" applyBorder="1" applyAlignment="1" applyProtection="1">
      <alignment horizontal="center"/>
      <protection hidden="1"/>
    </xf>
    <xf numFmtId="168" fontId="6" fillId="6" borderId="69" xfId="1" applyNumberFormat="1" applyFont="1" applyFill="1" applyBorder="1" applyAlignment="1" applyProtection="1">
      <alignment horizontal="center"/>
      <protection hidden="1"/>
    </xf>
    <xf numFmtId="165" fontId="0" fillId="2" borderId="44" xfId="0" applyNumberFormat="1" applyFill="1" applyBorder="1" applyAlignment="1" applyProtection="1">
      <alignment horizontal="center" vertical="center"/>
      <protection locked="0"/>
    </xf>
    <xf numFmtId="165" fontId="0" fillId="2" borderId="45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12" borderId="0" xfId="0" applyFont="1" applyFill="1" applyAlignment="1">
      <alignment horizontal="right"/>
    </xf>
    <xf numFmtId="0" fontId="2" fillId="15" borderId="32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0" xfId="0" applyFont="1" applyBorder="1" applyAlignment="1">
      <alignment horizontal="right"/>
    </xf>
    <xf numFmtId="0" fontId="0" fillId="5" borderId="14" xfId="0" applyFill="1" applyBorder="1" applyAlignment="1">
      <alignment horizontal="center"/>
    </xf>
    <xf numFmtId="170" fontId="0" fillId="7" borderId="10" xfId="0" applyNumberFormat="1" applyFill="1" applyBorder="1"/>
    <xf numFmtId="0" fontId="0" fillId="5" borderId="7" xfId="0" applyFill="1" applyBorder="1" applyAlignment="1">
      <alignment horizontal="center"/>
    </xf>
    <xf numFmtId="170" fontId="0" fillId="7" borderId="17" xfId="0" applyNumberFormat="1" applyFill="1" applyBorder="1"/>
    <xf numFmtId="170" fontId="0" fillId="7" borderId="43" xfId="0" applyNumberFormat="1" applyFill="1" applyBorder="1"/>
    <xf numFmtId="170" fontId="0" fillId="7" borderId="22" xfId="0" applyNumberFormat="1" applyFill="1" applyBorder="1"/>
    <xf numFmtId="0" fontId="5" fillId="0" borderId="0" xfId="0" applyFont="1" applyAlignment="1">
      <alignment vertical="center"/>
    </xf>
    <xf numFmtId="168" fontId="0" fillId="0" borderId="0" xfId="0" applyNumberFormat="1"/>
    <xf numFmtId="166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170" fontId="0" fillId="0" borderId="10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8" xfId="0" applyFont="1" applyBorder="1" applyAlignment="1">
      <alignment horizontal="center"/>
    </xf>
    <xf numFmtId="0" fontId="2" fillId="0" borderId="19" xfId="0" applyFont="1" applyBorder="1"/>
    <xf numFmtId="0" fontId="0" fillId="0" borderId="8" xfId="0" applyBorder="1"/>
    <xf numFmtId="0" fontId="7" fillId="0" borderId="0" xfId="0" applyFont="1" applyAlignment="1">
      <alignment horizontal="center"/>
    </xf>
    <xf numFmtId="167" fontId="2" fillId="0" borderId="32" xfId="0" applyNumberFormat="1" applyFont="1" applyBorder="1" applyAlignment="1">
      <alignment horizontal="center" vertical="center"/>
    </xf>
    <xf numFmtId="0" fontId="0" fillId="6" borderId="61" xfId="0" applyFill="1" applyBorder="1" applyAlignment="1">
      <alignment horizontal="center"/>
    </xf>
    <xf numFmtId="0" fontId="0" fillId="6" borderId="62" xfId="0" applyFill="1" applyBorder="1" applyAlignment="1">
      <alignment horizontal="center"/>
    </xf>
    <xf numFmtId="169" fontId="0" fillId="6" borderId="50" xfId="0" applyNumberFormat="1" applyFill="1" applyBorder="1" applyAlignment="1">
      <alignment horizontal="center"/>
    </xf>
    <xf numFmtId="169" fontId="0" fillId="6" borderId="51" xfId="0" applyNumberFormat="1" applyFill="1" applyBorder="1" applyAlignment="1">
      <alignment horizontal="center"/>
    </xf>
    <xf numFmtId="171" fontId="0" fillId="6" borderId="81" xfId="0" applyNumberFormat="1" applyFill="1" applyBorder="1" applyAlignment="1">
      <alignment horizontal="center"/>
    </xf>
    <xf numFmtId="171" fontId="0" fillId="6" borderId="5" xfId="0" applyNumberFormat="1" applyFill="1" applyBorder="1" applyAlignment="1">
      <alignment horizontal="center"/>
    </xf>
    <xf numFmtId="171" fontId="0" fillId="6" borderId="82" xfId="0" applyNumberFormat="1" applyFill="1" applyBorder="1" applyAlignment="1">
      <alignment horizontal="center"/>
    </xf>
    <xf numFmtId="171" fontId="0" fillId="6" borderId="23" xfId="0" applyNumberFormat="1" applyFill="1" applyBorder="1" applyAlignment="1">
      <alignment horizontal="center"/>
    </xf>
    <xf numFmtId="0" fontId="10" fillId="0" borderId="0" xfId="0" applyFont="1" applyAlignment="1">
      <alignment horizontal="left"/>
    </xf>
    <xf numFmtId="165" fontId="0" fillId="2" borderId="45" xfId="0" applyNumberFormat="1" applyFill="1" applyBorder="1" applyAlignment="1" applyProtection="1">
      <alignment horizontal="right" vertical="center"/>
      <protection locked="0"/>
    </xf>
    <xf numFmtId="0" fontId="11" fillId="5" borderId="48" xfId="0" applyFont="1" applyFill="1" applyBorder="1" applyAlignment="1" applyProtection="1">
      <alignment horizontal="right"/>
      <protection hidden="1"/>
    </xf>
    <xf numFmtId="0" fontId="0" fillId="17" borderId="7" xfId="0" applyFill="1" applyBorder="1" applyAlignment="1">
      <alignment horizontal="right"/>
    </xf>
    <xf numFmtId="170" fontId="2" fillId="17" borderId="8" xfId="0" applyNumberFormat="1" applyFont="1" applyFill="1" applyBorder="1" applyAlignment="1">
      <alignment horizontal="center" vertical="center"/>
    </xf>
    <xf numFmtId="0" fontId="2" fillId="17" borderId="7" xfId="0" applyFont="1" applyFill="1" applyBorder="1" applyAlignment="1" applyProtection="1">
      <alignment horizontal="center"/>
      <protection hidden="1"/>
    </xf>
    <xf numFmtId="170" fontId="2" fillId="17" borderId="20" xfId="0" applyNumberFormat="1" applyFont="1" applyFill="1" applyBorder="1" applyAlignment="1" applyProtection="1">
      <alignment horizontal="center"/>
      <protection hidden="1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left"/>
      <protection hidden="1"/>
    </xf>
    <xf numFmtId="0" fontId="8" fillId="0" borderId="2" xfId="0" applyFont="1" applyBorder="1" applyAlignment="1" applyProtection="1">
      <alignment horizontal="left"/>
      <protection hidden="1"/>
    </xf>
    <xf numFmtId="0" fontId="7" fillId="17" borderId="4" xfId="0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5" borderId="56" xfId="0" applyFill="1" applyBorder="1" applyAlignment="1">
      <alignment horizontal="center"/>
    </xf>
    <xf numFmtId="168" fontId="0" fillId="2" borderId="49" xfId="1" applyNumberFormat="1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>
      <alignment horizontal="center" vertical="center" wrapText="1"/>
    </xf>
    <xf numFmtId="172" fontId="0" fillId="18" borderId="4" xfId="1" applyNumberFormat="1" applyFont="1" applyFill="1" applyBorder="1" applyProtection="1">
      <protection hidden="1"/>
    </xf>
    <xf numFmtId="0" fontId="0" fillId="18" borderId="5" xfId="0" applyFill="1" applyBorder="1" applyProtection="1">
      <protection hidden="1"/>
    </xf>
    <xf numFmtId="0" fontId="0" fillId="18" borderId="6" xfId="0" applyFill="1" applyBorder="1" applyProtection="1">
      <protection hidden="1"/>
    </xf>
    <xf numFmtId="172" fontId="0" fillId="18" borderId="15" xfId="1" applyNumberFormat="1" applyFont="1" applyFill="1" applyBorder="1" applyProtection="1">
      <protection hidden="1"/>
    </xf>
    <xf numFmtId="0" fontId="0" fillId="18" borderId="0" xfId="0" applyFill="1" applyProtection="1">
      <protection hidden="1"/>
    </xf>
    <xf numFmtId="0" fontId="0" fillId="18" borderId="26" xfId="0" applyFill="1" applyBorder="1" applyProtection="1">
      <protection hidden="1"/>
    </xf>
    <xf numFmtId="172" fontId="0" fillId="18" borderId="13" xfId="1" applyNumberFormat="1" applyFont="1" applyFill="1" applyBorder="1" applyProtection="1">
      <protection hidden="1"/>
    </xf>
    <xf numFmtId="0" fontId="0" fillId="18" borderId="23" xfId="0" applyFill="1" applyBorder="1" applyProtection="1">
      <protection hidden="1"/>
    </xf>
    <xf numFmtId="0" fontId="0" fillId="18" borderId="24" xfId="0" applyFill="1" applyBorder="1" applyProtection="1">
      <protection hidden="1"/>
    </xf>
    <xf numFmtId="0" fontId="19" fillId="0" borderId="0" xfId="0" applyFont="1"/>
    <xf numFmtId="0" fontId="0" fillId="14" borderId="72" xfId="0" applyFill="1" applyBorder="1" applyAlignment="1" applyProtection="1">
      <alignment horizontal="center"/>
      <protection locked="0"/>
    </xf>
    <xf numFmtId="0" fontId="0" fillId="14" borderId="57" xfId="0" applyFill="1" applyBorder="1" applyAlignment="1" applyProtection="1">
      <alignment horizontal="center"/>
      <protection locked="0"/>
    </xf>
    <xf numFmtId="0" fontId="20" fillId="19" borderId="0" xfId="2"/>
    <xf numFmtId="0" fontId="0" fillId="2" borderId="40" xfId="0" applyFill="1" applyBorder="1" applyAlignment="1">
      <alignment horizontal="center"/>
    </xf>
    <xf numFmtId="168" fontId="0" fillId="2" borderId="9" xfId="1" applyNumberFormat="1" applyFont="1" applyFill="1" applyBorder="1" applyAlignment="1" applyProtection="1">
      <alignment horizontal="center"/>
    </xf>
    <xf numFmtId="0" fontId="17" fillId="10" borderId="35" xfId="0" applyFont="1" applyFill="1" applyBorder="1" applyAlignment="1">
      <alignment horizontal="left"/>
    </xf>
    <xf numFmtId="0" fontId="0" fillId="10" borderId="48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168" fontId="0" fillId="2" borderId="21" xfId="1" applyNumberFormat="1" applyFont="1" applyFill="1" applyBorder="1" applyAlignment="1" applyProtection="1">
      <alignment horizontal="center"/>
    </xf>
    <xf numFmtId="0" fontId="2" fillId="0" borderId="36" xfId="0" applyFont="1" applyBorder="1" applyAlignment="1">
      <alignment horizontal="right"/>
    </xf>
    <xf numFmtId="0" fontId="0" fillId="2" borderId="18" xfId="0" applyFill="1" applyBorder="1" applyAlignment="1">
      <alignment horizontal="center"/>
    </xf>
    <xf numFmtId="0" fontId="2" fillId="0" borderId="37" xfId="0" applyFont="1" applyBorder="1" applyAlignment="1">
      <alignment horizontal="right"/>
    </xf>
    <xf numFmtId="0" fontId="0" fillId="2" borderId="42" xfId="0" applyFill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0" fillId="2" borderId="35" xfId="0" applyFill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0" fillId="2" borderId="34" xfId="0" applyFill="1" applyBorder="1" applyAlignment="1">
      <alignment horizontal="center"/>
    </xf>
    <xf numFmtId="0" fontId="0" fillId="2" borderId="32" xfId="0" applyFill="1" applyBorder="1" applyAlignment="1" applyProtection="1">
      <alignment horizontal="center" vertical="center" wrapText="1"/>
      <protection locked="0"/>
    </xf>
    <xf numFmtId="172" fontId="2" fillId="18" borderId="0" xfId="1" applyNumberFormat="1" applyFont="1" applyFill="1" applyBorder="1" applyProtection="1">
      <protection hidden="1"/>
    </xf>
    <xf numFmtId="0" fontId="21" fillId="20" borderId="0" xfId="3"/>
    <xf numFmtId="0" fontId="23" fillId="20" borderId="0" xfId="3" applyFont="1"/>
    <xf numFmtId="0" fontId="2" fillId="0" borderId="27" xfId="0" applyFont="1" applyBorder="1"/>
    <xf numFmtId="0" fontId="2" fillId="0" borderId="8" xfId="0" applyFont="1" applyBorder="1"/>
    <xf numFmtId="0" fontId="21" fillId="20" borderId="8" xfId="3" applyBorder="1" applyProtection="1"/>
    <xf numFmtId="0" fontId="20" fillId="19" borderId="8" xfId="2" applyBorder="1" applyProtection="1"/>
    <xf numFmtId="0" fontId="22" fillId="21" borderId="8" xfId="4" applyBorder="1" applyProtection="1"/>
    <xf numFmtId="0" fontId="21" fillId="20" borderId="8" xfId="3" applyBorder="1" applyProtection="1">
      <protection locked="0"/>
    </xf>
    <xf numFmtId="0" fontId="20" fillId="19" borderId="8" xfId="2" applyBorder="1" applyProtection="1">
      <protection locked="0"/>
    </xf>
    <xf numFmtId="0" fontId="22" fillId="21" borderId="8" xfId="4" applyBorder="1" applyProtection="1">
      <protection locked="0"/>
    </xf>
    <xf numFmtId="0" fontId="0" fillId="2" borderId="10" xfId="0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58" xfId="0" applyFont="1" applyFill="1" applyBorder="1" applyAlignment="1">
      <alignment horizontal="center"/>
    </xf>
    <xf numFmtId="0" fontId="2" fillId="8" borderId="59" xfId="0" applyFont="1" applyFill="1" applyBorder="1" applyAlignment="1">
      <alignment horizontal="center"/>
    </xf>
    <xf numFmtId="0" fontId="2" fillId="8" borderId="6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8" borderId="1" xfId="0" applyNumberFormat="1" applyFill="1" applyBorder="1" applyAlignment="1">
      <alignment horizontal="left" vertical="center" wrapText="1"/>
    </xf>
    <xf numFmtId="164" fontId="0" fillId="8" borderId="3" xfId="0" applyNumberForma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16" borderId="39" xfId="0" applyFont="1" applyFill="1" applyBorder="1" applyAlignment="1">
      <alignment horizontal="center"/>
    </xf>
    <xf numFmtId="0" fontId="4" fillId="16" borderId="25" xfId="0" applyFont="1" applyFill="1" applyBorder="1" applyAlignment="1">
      <alignment horizontal="center"/>
    </xf>
    <xf numFmtId="0" fontId="4" fillId="16" borderId="38" xfId="0" applyFont="1" applyFill="1" applyBorder="1" applyAlignment="1">
      <alignment horizontal="center"/>
    </xf>
    <xf numFmtId="0" fontId="2" fillId="0" borderId="0" xfId="0" applyFont="1" applyAlignment="1" applyProtection="1">
      <alignment horizontal="center"/>
      <protection hidden="1"/>
    </xf>
    <xf numFmtId="0" fontId="2" fillId="5" borderId="36" xfId="0" applyFont="1" applyFill="1" applyBorder="1" applyAlignment="1" applyProtection="1">
      <alignment horizontal="center"/>
      <protection hidden="1"/>
    </xf>
    <xf numFmtId="0" fontId="2" fillId="5" borderId="48" xfId="0" applyFont="1" applyFill="1" applyBorder="1" applyAlignment="1" applyProtection="1">
      <alignment horizontal="center"/>
      <protection hidden="1"/>
    </xf>
    <xf numFmtId="0" fontId="2" fillId="0" borderId="39" xfId="0" applyFont="1" applyBorder="1" applyAlignment="1" applyProtection="1">
      <alignment horizontal="center"/>
      <protection hidden="1"/>
    </xf>
    <xf numFmtId="0" fontId="2" fillId="0" borderId="38" xfId="0" applyFont="1" applyBorder="1" applyAlignment="1" applyProtection="1">
      <alignment horizontal="center"/>
      <protection hidden="1"/>
    </xf>
    <xf numFmtId="0" fontId="2" fillId="15" borderId="10" xfId="0" applyFont="1" applyFill="1" applyBorder="1" applyAlignment="1" applyProtection="1">
      <alignment horizontal="center" vertical="center"/>
      <protection hidden="1"/>
    </xf>
    <xf numFmtId="0" fontId="2" fillId="15" borderId="22" xfId="0" applyFont="1" applyFill="1" applyBorder="1" applyAlignment="1" applyProtection="1">
      <alignment horizontal="center" vertical="center"/>
      <protection hidden="1"/>
    </xf>
    <xf numFmtId="0" fontId="2" fillId="8" borderId="73" xfId="0" applyFont="1" applyFill="1" applyBorder="1" applyAlignment="1">
      <alignment horizontal="center"/>
    </xf>
    <xf numFmtId="0" fontId="2" fillId="8" borderId="74" xfId="0" applyFont="1" applyFill="1" applyBorder="1" applyAlignment="1">
      <alignment horizontal="center"/>
    </xf>
    <xf numFmtId="0" fontId="2" fillId="8" borderId="75" xfId="0" applyFont="1" applyFill="1" applyBorder="1" applyAlignment="1">
      <alignment horizontal="center"/>
    </xf>
    <xf numFmtId="0" fontId="0" fillId="0" borderId="6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45"/>
    </xf>
    <xf numFmtId="0" fontId="2" fillId="0" borderId="15" xfId="0" applyFont="1" applyBorder="1" applyAlignment="1">
      <alignment horizontal="center" vertical="center" textRotation="45"/>
    </xf>
    <xf numFmtId="0" fontId="2" fillId="0" borderId="13" xfId="0" applyFont="1" applyBorder="1" applyAlignment="1">
      <alignment horizontal="center" vertical="center" textRotation="45"/>
    </xf>
    <xf numFmtId="0" fontId="2" fillId="12" borderId="5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60" xfId="0" applyFont="1" applyFill="1" applyBorder="1" applyAlignment="1">
      <alignment horizontal="center"/>
    </xf>
    <xf numFmtId="164" fontId="13" fillId="5" borderId="7" xfId="0" applyNumberFormat="1" applyFont="1" applyFill="1" applyBorder="1" applyAlignment="1">
      <alignment horizontal="center" vertical="center"/>
    </xf>
    <xf numFmtId="164" fontId="13" fillId="5" borderId="19" xfId="0" applyNumberFormat="1" applyFont="1" applyFill="1" applyBorder="1" applyAlignment="1">
      <alignment horizontal="center" vertical="center"/>
    </xf>
    <xf numFmtId="164" fontId="0" fillId="13" borderId="1" xfId="0" applyNumberFormat="1" applyFill="1" applyBorder="1" applyAlignment="1" applyProtection="1">
      <alignment horizontal="left" vertical="center" wrapText="1"/>
      <protection hidden="1"/>
    </xf>
    <xf numFmtId="164" fontId="0" fillId="13" borderId="3" xfId="0" applyNumberFormat="1" applyFill="1" applyBorder="1" applyAlignment="1" applyProtection="1">
      <alignment horizontal="left" vertical="center" wrapText="1"/>
      <protection hidden="1"/>
    </xf>
    <xf numFmtId="167" fontId="2" fillId="9" borderId="1" xfId="0" applyNumberFormat="1" applyFont="1" applyFill="1" applyBorder="1" applyAlignment="1">
      <alignment horizontal="center"/>
    </xf>
    <xf numFmtId="167" fontId="2" fillId="9" borderId="3" xfId="0" applyNumberFormat="1" applyFont="1" applyFill="1" applyBorder="1" applyAlignment="1">
      <alignment horizontal="center"/>
    </xf>
    <xf numFmtId="164" fontId="0" fillId="9" borderId="85" xfId="0" applyNumberFormat="1" applyFill="1" applyBorder="1" applyAlignment="1" applyProtection="1">
      <alignment horizontal="left" vertical="center" wrapText="1"/>
      <protection hidden="1"/>
    </xf>
    <xf numFmtId="164" fontId="0" fillId="9" borderId="86" xfId="0" applyNumberFormat="1" applyFill="1" applyBorder="1" applyAlignment="1" applyProtection="1">
      <alignment horizontal="left" vertical="center" wrapText="1"/>
      <protection hidden="1"/>
    </xf>
    <xf numFmtId="164" fontId="14" fillId="6" borderId="83" xfId="0" applyNumberFormat="1" applyFont="1" applyFill="1" applyBorder="1" applyAlignment="1" applyProtection="1">
      <alignment horizontal="left" vertical="center" wrapText="1"/>
      <protection hidden="1"/>
    </xf>
    <xf numFmtId="164" fontId="14" fillId="6" borderId="84" xfId="0" applyNumberFormat="1" applyFont="1" applyFill="1" applyBorder="1" applyAlignment="1" applyProtection="1">
      <alignment horizontal="left" vertical="center" wrapText="1"/>
      <protection hidden="1"/>
    </xf>
    <xf numFmtId="164" fontId="14" fillId="6" borderId="69" xfId="0" applyNumberFormat="1" applyFont="1" applyFill="1" applyBorder="1" applyAlignment="1" applyProtection="1">
      <alignment horizontal="left" vertical="center" wrapText="1"/>
      <protection hidden="1"/>
    </xf>
    <xf numFmtId="164" fontId="14" fillId="6" borderId="80" xfId="0" applyNumberFormat="1" applyFont="1" applyFill="1" applyBorder="1" applyAlignment="1" applyProtection="1">
      <alignment horizontal="left" vertical="center" wrapText="1"/>
      <protection hidden="1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0" fillId="9" borderId="76" xfId="0" applyFill="1" applyBorder="1" applyAlignment="1" applyProtection="1">
      <alignment horizontal="center"/>
      <protection hidden="1"/>
    </xf>
    <xf numFmtId="0" fontId="0" fillId="9" borderId="77" xfId="0" applyFill="1" applyBorder="1" applyAlignment="1" applyProtection="1">
      <alignment horizontal="center"/>
      <protection hidden="1"/>
    </xf>
    <xf numFmtId="0" fontId="0" fillId="9" borderId="78" xfId="0" applyFill="1" applyBorder="1" applyAlignment="1" applyProtection="1">
      <alignment horizontal="center"/>
      <protection hidden="1"/>
    </xf>
  </cellXfs>
  <cellStyles count="5">
    <cellStyle name="Bad" xfId="4" builtinId="27"/>
    <cellStyle name="Comma" xfId="1" builtinId="3"/>
    <cellStyle name="Good" xfId="3" builtinId="26"/>
    <cellStyle name="Neutral" xfId="2" builtinId="28"/>
    <cellStyle name="Normal" xfId="0" builtinId="0"/>
  </cellStyles>
  <dxfs count="4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top style="dashDot">
          <color auto="1"/>
        </top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  <border>
        <top style="dashDot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theme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theme="7" tint="0.39994506668294322"/>
        </patternFill>
      </fill>
      <border>
        <top style="dashDot">
          <color auto="1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CAD7EE"/>
      <color rgb="FFD1FFFF"/>
      <color rgb="FFC0FDFE"/>
      <color rgb="FFB7E5FF"/>
      <color rgb="FFB4DFFA"/>
      <color rgb="FFFFCCCC"/>
      <color rgb="FFE4D1FF"/>
      <color rgb="FFE1CCFE"/>
      <color rgb="FFCFB2F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2770909</xdr:colOff>
      <xdr:row>58</xdr:row>
      <xdr:rowOff>76199</xdr:rowOff>
    </xdr:from>
    <xdr:to>
      <xdr:col>15</xdr:col>
      <xdr:colOff>66675</xdr:colOff>
      <xdr:row>65</xdr:row>
      <xdr:rowOff>34637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CE48311-9001-75B3-54BB-E44399CCD8EC}"/>
            </a:ext>
          </a:extLst>
        </xdr:cNvPr>
        <xdr:cNvSpPr/>
      </xdr:nvSpPr>
      <xdr:spPr>
        <a:xfrm>
          <a:off x="10910454" y="15223835"/>
          <a:ext cx="3484130" cy="2521529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379330</xdr:colOff>
      <xdr:row>51</xdr:row>
      <xdr:rowOff>1839</xdr:rowOff>
    </xdr:from>
    <xdr:to>
      <xdr:col>9</xdr:col>
      <xdr:colOff>731755</xdr:colOff>
      <xdr:row>52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4600F-C676-5146-996F-D78CF3C3463B}"/>
            </a:ext>
          </a:extLst>
        </xdr:cNvPr>
        <xdr:cNvSpPr txBox="1"/>
      </xdr:nvSpPr>
      <xdr:spPr>
        <a:xfrm>
          <a:off x="6341980" y="11031789"/>
          <a:ext cx="1333500" cy="331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Results</a:t>
          </a:r>
        </a:p>
      </xdr:txBody>
    </xdr:sp>
    <xdr:clientData/>
  </xdr:twoCellAnchor>
  <xdr:twoCellAnchor>
    <xdr:from>
      <xdr:col>15</xdr:col>
      <xdr:colOff>225712</xdr:colOff>
      <xdr:row>59</xdr:row>
      <xdr:rowOff>419100</xdr:rowOff>
    </xdr:from>
    <xdr:to>
      <xdr:col>17</xdr:col>
      <xdr:colOff>56282</xdr:colOff>
      <xdr:row>61</xdr:row>
      <xdr:rowOff>158461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CC3126-96F1-2362-DAF9-DEA0538D923B}"/>
            </a:ext>
          </a:extLst>
        </xdr:cNvPr>
        <xdr:cNvSpPr txBox="1"/>
      </xdr:nvSpPr>
      <xdr:spPr>
        <a:xfrm>
          <a:off x="14553621" y="16051645"/>
          <a:ext cx="1804843" cy="709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30000"/>
            <a:t>5</a:t>
          </a:r>
          <a:r>
            <a:rPr lang="en-US" sz="1200"/>
            <a:t>vCPUs = Threads per core * core count * sockets</a:t>
          </a:r>
        </a:p>
        <a:p>
          <a:endParaRPr lang="en-US" sz="1200"/>
        </a:p>
      </xdr:txBody>
    </xdr:sp>
    <xdr:clientData/>
  </xdr:twoCellAnchor>
  <xdr:twoCellAnchor>
    <xdr:from>
      <xdr:col>6</xdr:col>
      <xdr:colOff>610541</xdr:colOff>
      <xdr:row>68</xdr:row>
      <xdr:rowOff>93082</xdr:rowOff>
    </xdr:from>
    <xdr:to>
      <xdr:col>11</xdr:col>
      <xdr:colOff>504825</xdr:colOff>
      <xdr:row>70</xdr:row>
      <xdr:rowOff>26408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78DD6B-40C0-214C-BBBF-3B38A491C508}"/>
            </a:ext>
          </a:extLst>
        </xdr:cNvPr>
        <xdr:cNvSpPr txBox="1"/>
      </xdr:nvSpPr>
      <xdr:spPr>
        <a:xfrm>
          <a:off x="4306241" y="16628482"/>
          <a:ext cx="3866209" cy="36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Sizing Input for Configuration Calculators </a:t>
          </a:r>
        </a:p>
      </xdr:txBody>
    </xdr:sp>
    <xdr:clientData/>
  </xdr:twoCellAnchor>
  <xdr:twoCellAnchor>
    <xdr:from>
      <xdr:col>5</xdr:col>
      <xdr:colOff>34636</xdr:colOff>
      <xdr:row>23</xdr:row>
      <xdr:rowOff>23090</xdr:rowOff>
    </xdr:from>
    <xdr:to>
      <xdr:col>11</xdr:col>
      <xdr:colOff>868</xdr:colOff>
      <xdr:row>46</xdr:row>
      <xdr:rowOff>103908</xdr:rowOff>
    </xdr:to>
    <xdr:sp macro="" textlink="">
      <xdr:nvSpPr>
        <xdr:cNvPr id="15" name="Bent-Up Arrow 14">
          <a:extLst>
            <a:ext uri="{FF2B5EF4-FFF2-40B4-BE49-F238E27FC236}">
              <a16:creationId xmlns:a16="http://schemas.microsoft.com/office/drawing/2014/main" id="{9F828691-D405-2A4B-A1C7-90B35AF56241}"/>
            </a:ext>
          </a:extLst>
        </xdr:cNvPr>
        <xdr:cNvSpPr/>
      </xdr:nvSpPr>
      <xdr:spPr>
        <a:xfrm rot="5400000">
          <a:off x="3042661" y="5131520"/>
          <a:ext cx="4929909" cy="5265595"/>
        </a:xfrm>
        <a:prstGeom prst="bentUpArrow">
          <a:avLst>
            <a:gd name="adj1" fmla="val 7789"/>
            <a:gd name="adj2" fmla="val 6566"/>
            <a:gd name="adj3" fmla="val 10176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/>
            <a:t>       Scroll  for Rusults  --------&gt;</a:t>
          </a:r>
        </a:p>
      </xdr:txBody>
    </xdr:sp>
    <xdr:clientData/>
  </xdr:twoCellAnchor>
  <xdr:twoCellAnchor>
    <xdr:from>
      <xdr:col>5</xdr:col>
      <xdr:colOff>34636</xdr:colOff>
      <xdr:row>45</xdr:row>
      <xdr:rowOff>138548</xdr:rowOff>
    </xdr:from>
    <xdr:to>
      <xdr:col>11</xdr:col>
      <xdr:colOff>2551544</xdr:colOff>
      <xdr:row>63</xdr:row>
      <xdr:rowOff>80819</xdr:rowOff>
    </xdr:to>
    <xdr:sp macro="" textlink="">
      <xdr:nvSpPr>
        <xdr:cNvPr id="8" name="Bent-Up Arrow 14">
          <a:extLst>
            <a:ext uri="{FF2B5EF4-FFF2-40B4-BE49-F238E27FC236}">
              <a16:creationId xmlns:a16="http://schemas.microsoft.com/office/drawing/2014/main" id="{9E6517BC-8525-454B-9C1F-803F83948CC0}"/>
            </a:ext>
          </a:extLst>
        </xdr:cNvPr>
        <xdr:cNvSpPr/>
      </xdr:nvSpPr>
      <xdr:spPr>
        <a:xfrm rot="5400000">
          <a:off x="2949864" y="9969502"/>
          <a:ext cx="7331362" cy="7481453"/>
        </a:xfrm>
        <a:prstGeom prst="bentUpArrow">
          <a:avLst>
            <a:gd name="adj1" fmla="val 6492"/>
            <a:gd name="adj2" fmla="val 6443"/>
            <a:gd name="adj3" fmla="val 10496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800"/>
        </a:p>
      </xdr:txBody>
    </xdr:sp>
    <xdr:clientData/>
  </xdr:twoCellAnchor>
  <xdr:twoCellAnchor>
    <xdr:from>
      <xdr:col>6</xdr:col>
      <xdr:colOff>127001</xdr:colOff>
      <xdr:row>61</xdr:row>
      <xdr:rowOff>109208</xdr:rowOff>
    </xdr:from>
    <xdr:to>
      <xdr:col>11</xdr:col>
      <xdr:colOff>261856</xdr:colOff>
      <xdr:row>61</xdr:row>
      <xdr:rowOff>429200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3875A4-4D6E-4DC0-B4E8-773DC8D9FD23}"/>
            </a:ext>
          </a:extLst>
        </xdr:cNvPr>
        <xdr:cNvSpPr txBox="1"/>
      </xdr:nvSpPr>
      <xdr:spPr>
        <a:xfrm>
          <a:off x="3371274" y="16711572"/>
          <a:ext cx="4695309" cy="319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Calculate Per Worker Node Sizings</a:t>
          </a:r>
          <a:r>
            <a:rPr lang="en-US" sz="1600" baseline="0">
              <a:solidFill>
                <a:schemeClr val="bg1"/>
              </a:solidFill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396009</xdr:colOff>
      <xdr:row>56</xdr:row>
      <xdr:rowOff>34636</xdr:rowOff>
    </xdr:from>
    <xdr:to>
      <xdr:col>9</xdr:col>
      <xdr:colOff>642855</xdr:colOff>
      <xdr:row>56</xdr:row>
      <xdr:rowOff>423900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8BDDB3-B4A2-DE4F-8719-FCE7B579AD23}"/>
            </a:ext>
          </a:extLst>
        </xdr:cNvPr>
        <xdr:cNvSpPr txBox="1"/>
      </xdr:nvSpPr>
      <xdr:spPr>
        <a:xfrm>
          <a:off x="4506191" y="13600545"/>
          <a:ext cx="4056846" cy="389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Deployment</a:t>
          </a:r>
          <a:r>
            <a:rPr lang="en-US" sz="1600" baseline="0">
              <a:solidFill>
                <a:schemeClr val="bg1"/>
              </a:solidFill>
            </a:rPr>
            <a:t> Requirements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300182</xdr:colOff>
      <xdr:row>44</xdr:row>
      <xdr:rowOff>23092</xdr:rowOff>
    </xdr:from>
    <xdr:to>
      <xdr:col>9</xdr:col>
      <xdr:colOff>77128</xdr:colOff>
      <xdr:row>45</xdr:row>
      <xdr:rowOff>135265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20508B-A800-D142-BBA6-8BABEE27648D}"/>
            </a:ext>
          </a:extLst>
        </xdr:cNvPr>
        <xdr:cNvSpPr txBox="1"/>
      </xdr:nvSpPr>
      <xdr:spPr>
        <a:xfrm>
          <a:off x="3140364" y="8231910"/>
          <a:ext cx="3586946" cy="331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Deployment</a:t>
          </a:r>
          <a:r>
            <a:rPr lang="en-US" sz="1600" baseline="0">
              <a:solidFill>
                <a:schemeClr val="bg1"/>
              </a:solidFill>
            </a:rPr>
            <a:t> Requirements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yb/Downloads/Maximo%20Real%20Estate%20and%20Facilities%20On%20Premises%20Infrastructure%20Calculator%20-%20Universal.XLSX" TargetMode="External"/><Relationship Id="rId1" Type="http://schemas.openxmlformats.org/officeDocument/2006/relationships/externalLinkPath" Target="Maximo%20Real%20Estate%20and%20Facilities%20On%20Premises%20Infrastructure%20Calculator%20-%20Univer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ance"/>
      <sheetName val="V9.1 Calculator"/>
      <sheetName val="Load Calculation"/>
      <sheetName val="MREF Pod Sizing"/>
      <sheetName val="Versions"/>
    </sheetNames>
    <sheetDataSet>
      <sheetData sheetId="0"/>
      <sheetData sheetId="1">
        <row r="12">
          <cell r="F12" t="str">
            <v>Y</v>
          </cell>
        </row>
      </sheetData>
      <sheetData sheetId="2">
        <row r="33">
          <cell r="J33">
            <v>17</v>
          </cell>
          <cell r="K33">
            <v>54</v>
          </cell>
          <cell r="N33">
            <v>50</v>
          </cell>
          <cell r="O33">
            <v>220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3392-4725-1D43-AA94-6A9F6D8609F1}">
  <dimension ref="B2:Q25"/>
  <sheetViews>
    <sheetView tabSelected="1" zoomScale="180" zoomScaleNormal="180" workbookViewId="0">
      <selection activeCell="E26" sqref="E26"/>
    </sheetView>
  </sheetViews>
  <sheetFormatPr baseColWidth="10" defaultRowHeight="16" x14ac:dyDescent="0.2"/>
  <cols>
    <col min="2" max="2" width="3.83203125" customWidth="1"/>
    <col min="3" max="3" width="3.6640625" customWidth="1"/>
  </cols>
  <sheetData>
    <row r="2" spans="2:17" x14ac:dyDescent="0.2">
      <c r="B2" s="165" t="s">
        <v>127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</row>
    <row r="3" spans="2:17" x14ac:dyDescent="0.2"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</row>
    <row r="4" spans="2:17" x14ac:dyDescent="0.2">
      <c r="B4" s="164">
        <v>1</v>
      </c>
      <c r="C4" s="164" t="s">
        <v>112</v>
      </c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2:17" x14ac:dyDescent="0.2">
      <c r="B5" s="164">
        <v>2</v>
      </c>
      <c r="C5" s="164" t="s">
        <v>122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2:17" x14ac:dyDescent="0.2">
      <c r="B6" s="164"/>
      <c r="C6" s="164" t="s">
        <v>113</v>
      </c>
      <c r="D6" s="164" t="s">
        <v>140</v>
      </c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2:17" x14ac:dyDescent="0.2">
      <c r="B7" s="164"/>
      <c r="C7" s="164" t="s">
        <v>114</v>
      </c>
      <c r="D7" s="164" t="s">
        <v>115</v>
      </c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2:17" x14ac:dyDescent="0.2">
      <c r="B8" s="164"/>
      <c r="C8" s="164" t="s">
        <v>117</v>
      </c>
      <c r="D8" s="164" t="s">
        <v>116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</row>
    <row r="9" spans="2:17" x14ac:dyDescent="0.2">
      <c r="B9" s="164"/>
      <c r="C9" s="164" t="s">
        <v>119</v>
      </c>
      <c r="D9" s="164" t="s">
        <v>118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</row>
    <row r="10" spans="2:17" x14ac:dyDescent="0.2">
      <c r="B10" s="164"/>
      <c r="C10" s="164" t="s">
        <v>121</v>
      </c>
      <c r="D10" s="164" t="s">
        <v>120</v>
      </c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2:17" x14ac:dyDescent="0.2">
      <c r="B11" s="164"/>
      <c r="C11" s="164" t="s">
        <v>125</v>
      </c>
      <c r="D11" s="164" t="s">
        <v>124</v>
      </c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</row>
    <row r="12" spans="2:17" x14ac:dyDescent="0.2">
      <c r="B12" s="164"/>
      <c r="C12" s="164" t="s">
        <v>141</v>
      </c>
      <c r="D12" s="164" t="s">
        <v>126</v>
      </c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</row>
    <row r="13" spans="2:17" x14ac:dyDescent="0.2">
      <c r="B13" s="164"/>
      <c r="C13" s="164" t="s">
        <v>145</v>
      </c>
      <c r="D13" s="164" t="s">
        <v>146</v>
      </c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</row>
    <row r="14" spans="2:17" x14ac:dyDescent="0.2">
      <c r="B14" s="164">
        <v>3</v>
      </c>
      <c r="C14" s="164" t="s">
        <v>123</v>
      </c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</row>
    <row r="15" spans="2:17" x14ac:dyDescent="0.2">
      <c r="B15" s="164">
        <v>4</v>
      </c>
      <c r="C15" s="164" t="s">
        <v>131</v>
      </c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</row>
    <row r="16" spans="2:17" x14ac:dyDescent="0.2">
      <c r="B16" s="164">
        <v>5</v>
      </c>
      <c r="C16" s="164" t="s">
        <v>132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</row>
    <row r="17" spans="2:17" x14ac:dyDescent="0.2">
      <c r="B17" s="164">
        <v>6</v>
      </c>
      <c r="C17" s="164" t="s">
        <v>133</v>
      </c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</row>
    <row r="18" spans="2:17" x14ac:dyDescent="0.2">
      <c r="B18" s="164">
        <v>7</v>
      </c>
      <c r="C18" s="164" t="s">
        <v>134</v>
      </c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</row>
    <row r="19" spans="2:17" x14ac:dyDescent="0.2">
      <c r="B19" s="164">
        <v>8</v>
      </c>
      <c r="C19" s="164" t="s">
        <v>135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</row>
    <row r="20" spans="2:17" x14ac:dyDescent="0.2">
      <c r="B20" s="164">
        <v>9</v>
      </c>
      <c r="C20" s="164" t="s">
        <v>137</v>
      </c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</row>
    <row r="21" spans="2:17" x14ac:dyDescent="0.2">
      <c r="B21" s="164">
        <v>10</v>
      </c>
      <c r="C21" s="164" t="s">
        <v>142</v>
      </c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</row>
    <row r="22" spans="2:17" x14ac:dyDescent="0.2"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2:17" x14ac:dyDescent="0.2">
      <c r="B23" s="164"/>
      <c r="C23" s="164" t="s">
        <v>139</v>
      </c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</row>
    <row r="24" spans="2:17" x14ac:dyDescent="0.2"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2:17" x14ac:dyDescent="0.2"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</sheetData>
  <sheetProtection algorithmName="SHA-512" hashValue="LzPLwDkXUujtjRp863/7dECbXmg1rm1FbTRHGKeuxflJUfZ7dSIqjIYwJJH1+ojV0E7TQBDxvUo3WAD093RTbA==" saltValue="jLFbJPAHkZ0b23rInHWw9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DF65-547C-E24A-ADE5-31550730AC02}">
  <sheetPr codeName="Sheet1">
    <pageSetUpPr fitToPage="1"/>
  </sheetPr>
  <dimension ref="B1:X79"/>
  <sheetViews>
    <sheetView topLeftCell="E2" zoomScale="160" zoomScaleNormal="160" workbookViewId="0">
      <selection activeCell="Q15" sqref="Q15"/>
    </sheetView>
  </sheetViews>
  <sheetFormatPr baseColWidth="10" defaultColWidth="8.83203125" defaultRowHeight="16" x14ac:dyDescent="0.2"/>
  <cols>
    <col min="1" max="1" width="2.6640625" customWidth="1"/>
    <col min="2" max="2" width="0.1640625" hidden="1" customWidth="1"/>
    <col min="3" max="3" width="32.6640625" customWidth="1"/>
    <col min="4" max="4" width="9.33203125" customWidth="1"/>
    <col min="5" max="5" width="17.1640625" customWidth="1"/>
    <col min="6" max="6" width="9.6640625" customWidth="1"/>
    <col min="7" max="7" width="22" customWidth="1"/>
    <col min="8" max="8" width="11.5" customWidth="1"/>
    <col min="9" max="9" width="12.83203125" customWidth="1"/>
    <col min="10" max="10" width="10.5" style="78" customWidth="1"/>
    <col min="11" max="11" width="4.6640625" style="78" customWidth="1"/>
    <col min="12" max="12" width="37.6640625" customWidth="1"/>
    <col min="13" max="13" width="11.1640625" customWidth="1"/>
    <col min="14" max="14" width="15.5" customWidth="1"/>
    <col min="15" max="15" width="16.83203125" customWidth="1"/>
    <col min="16" max="16" width="16" customWidth="1"/>
    <col min="17" max="17" width="9.83203125" customWidth="1"/>
    <col min="18" max="18" width="8.33203125" customWidth="1"/>
    <col min="19" max="19" width="9.33203125" customWidth="1"/>
    <col min="20" max="20" width="14.6640625" customWidth="1"/>
    <col min="21" max="21" width="17.33203125" customWidth="1"/>
    <col min="22" max="22" width="13.1640625" style="78" customWidth="1"/>
    <col min="23" max="23" width="14" style="78" customWidth="1"/>
    <col min="24" max="24" width="12.1640625" style="78" customWidth="1"/>
    <col min="25" max="25" width="14" customWidth="1"/>
    <col min="26" max="26" width="13.83203125" customWidth="1"/>
    <col min="27" max="27" width="10.5" customWidth="1"/>
    <col min="28" max="29" width="8.1640625" customWidth="1"/>
    <col min="30" max="30" width="9.83203125" customWidth="1"/>
    <col min="31" max="31" width="6.83203125" customWidth="1"/>
    <col min="32" max="32" width="10.1640625" customWidth="1"/>
    <col min="33" max="33" width="7.6640625" customWidth="1"/>
    <col min="34" max="34" width="7.5" customWidth="1"/>
    <col min="35" max="36" width="8.1640625" customWidth="1"/>
    <col min="37" max="37" width="9.5" customWidth="1"/>
    <col min="38" max="39" width="8.5" customWidth="1"/>
    <col min="40" max="40" width="10.6640625" customWidth="1"/>
    <col min="41" max="42" width="8.83203125" customWidth="1"/>
    <col min="43" max="44" width="10.1640625" customWidth="1"/>
    <col min="45" max="55" width="8.83203125" customWidth="1"/>
    <col min="56" max="56" width="10.1640625" customWidth="1"/>
    <col min="57" max="61" width="8.83203125" customWidth="1"/>
    <col min="62" max="62" width="10.83203125" customWidth="1"/>
    <col min="63" max="64" width="8.83203125" customWidth="1"/>
  </cols>
  <sheetData>
    <row r="1" spans="2:24" ht="7" customHeight="1" thickBot="1" x14ac:dyDescent="0.25"/>
    <row r="2" spans="2:24" ht="21" x14ac:dyDescent="0.25">
      <c r="E2" s="188" t="s">
        <v>91</v>
      </c>
      <c r="F2" s="189"/>
      <c r="G2" s="189"/>
      <c r="H2" s="189"/>
      <c r="I2" s="189"/>
      <c r="J2" s="189"/>
      <c r="K2" s="189"/>
      <c r="L2" s="190"/>
    </row>
    <row r="3" spans="2:24" ht="20" thickBot="1" x14ac:dyDescent="0.3">
      <c r="E3" s="191" t="s">
        <v>52</v>
      </c>
      <c r="F3" s="192"/>
      <c r="G3" s="192"/>
      <c r="H3" s="192"/>
      <c r="I3" s="192"/>
      <c r="J3" s="192"/>
      <c r="K3" s="192"/>
      <c r="L3" s="193"/>
      <c r="V3"/>
      <c r="W3"/>
      <c r="X3"/>
    </row>
    <row r="4" spans="2:24" ht="17" thickBot="1" x14ac:dyDescent="0.25">
      <c r="V4"/>
      <c r="W4"/>
      <c r="X4"/>
    </row>
    <row r="5" spans="2:24" ht="18" customHeight="1" x14ac:dyDescent="0.2">
      <c r="C5" s="178" t="s">
        <v>17</v>
      </c>
      <c r="D5" s="179"/>
      <c r="E5" s="180"/>
      <c r="F5" s="174" t="s">
        <v>6</v>
      </c>
      <c r="G5" s="37" t="s">
        <v>138</v>
      </c>
      <c r="H5" s="204" t="s">
        <v>12</v>
      </c>
      <c r="I5" s="205"/>
      <c r="J5" s="128"/>
      <c r="K5" s="128"/>
      <c r="L5" s="128"/>
      <c r="M5" s="129"/>
      <c r="N5" s="129"/>
      <c r="O5" s="129"/>
      <c r="P5" s="129"/>
      <c r="Q5" s="79"/>
      <c r="V5"/>
      <c r="W5"/>
      <c r="X5"/>
    </row>
    <row r="6" spans="2:24" ht="18" customHeight="1" thickBot="1" x14ac:dyDescent="0.25">
      <c r="C6" s="181" t="s">
        <v>16</v>
      </c>
      <c r="D6" s="182"/>
      <c r="E6" s="183"/>
      <c r="F6" s="13" t="s">
        <v>6</v>
      </c>
      <c r="H6" s="206"/>
      <c r="I6" s="207"/>
      <c r="J6" s="128"/>
      <c r="K6" s="128"/>
      <c r="L6" s="128"/>
      <c r="M6" s="129"/>
      <c r="N6" s="129"/>
      <c r="O6" s="129"/>
      <c r="P6" s="129"/>
      <c r="Q6" s="79"/>
      <c r="V6"/>
      <c r="W6"/>
      <c r="X6"/>
    </row>
    <row r="7" spans="2:24" ht="18" customHeight="1" x14ac:dyDescent="0.2">
      <c r="C7" s="175" t="s">
        <v>54</v>
      </c>
      <c r="D7" s="176"/>
      <c r="E7" s="177"/>
      <c r="F7" s="12" t="s">
        <v>6</v>
      </c>
      <c r="H7" s="206"/>
      <c r="I7" s="207"/>
      <c r="J7" s="128"/>
      <c r="K7" s="128"/>
      <c r="L7" s="128"/>
      <c r="M7" s="129"/>
      <c r="N7" s="129"/>
      <c r="O7" s="129"/>
      <c r="P7" s="129"/>
      <c r="Q7" s="79"/>
      <c r="V7"/>
      <c r="W7"/>
      <c r="X7"/>
    </row>
    <row r="8" spans="2:24" ht="18" customHeight="1" thickBot="1" x14ac:dyDescent="0.25">
      <c r="C8" s="213"/>
      <c r="D8" s="214"/>
      <c r="E8" s="215"/>
      <c r="F8" s="143"/>
      <c r="H8" s="206"/>
      <c r="I8" s="207"/>
      <c r="J8" s="128"/>
      <c r="K8" s="128"/>
      <c r="L8" s="128"/>
      <c r="M8" s="129"/>
      <c r="N8" s="129"/>
      <c r="O8" s="129"/>
      <c r="P8" s="129"/>
      <c r="Q8" s="79"/>
      <c r="V8"/>
      <c r="W8"/>
      <c r="X8"/>
    </row>
    <row r="9" spans="2:24" ht="18" customHeight="1" x14ac:dyDescent="0.2">
      <c r="C9" s="201"/>
      <c r="D9" s="202"/>
      <c r="E9" s="203"/>
      <c r="F9" s="143"/>
      <c r="H9" s="208"/>
      <c r="I9" s="209"/>
      <c r="J9" s="128"/>
      <c r="K9" s="128"/>
      <c r="L9" s="128"/>
      <c r="M9" s="129"/>
      <c r="N9" s="129"/>
      <c r="O9" s="129"/>
      <c r="P9" s="129"/>
      <c r="Q9" s="79"/>
      <c r="V9"/>
      <c r="W9"/>
      <c r="X9"/>
    </row>
    <row r="10" spans="2:24" ht="18" customHeight="1" thickBot="1" x14ac:dyDescent="0.25">
      <c r="C10" s="181"/>
      <c r="D10" s="182"/>
      <c r="E10" s="183"/>
      <c r="F10" s="144"/>
      <c r="J10"/>
      <c r="K10"/>
      <c r="Q10" s="79"/>
      <c r="V10"/>
      <c r="W10"/>
      <c r="X10"/>
    </row>
    <row r="11" spans="2:24" ht="20" customHeight="1" thickBot="1" x14ac:dyDescent="0.25">
      <c r="C11" s="175" t="s">
        <v>21</v>
      </c>
      <c r="D11" s="176"/>
      <c r="E11" s="177"/>
      <c r="F11" s="12">
        <v>4</v>
      </c>
      <c r="J11"/>
      <c r="K11"/>
      <c r="V11"/>
      <c r="W11"/>
      <c r="X11"/>
    </row>
    <row r="12" spans="2:24" ht="20" customHeight="1" thickBot="1" x14ac:dyDescent="0.25">
      <c r="B12" s="80"/>
      <c r="C12" s="213" t="s">
        <v>31</v>
      </c>
      <c r="D12" s="214"/>
      <c r="E12" s="215"/>
      <c r="F12" s="13" t="s">
        <v>5</v>
      </c>
      <c r="J12"/>
      <c r="K12"/>
      <c r="L12" s="199" t="s">
        <v>51</v>
      </c>
      <c r="M12" s="3" t="s">
        <v>32</v>
      </c>
      <c r="N12" s="1" t="s">
        <v>34</v>
      </c>
      <c r="O12" s="1" t="s">
        <v>35</v>
      </c>
      <c r="P12" s="3" t="s">
        <v>36</v>
      </c>
      <c r="V12"/>
      <c r="W12"/>
      <c r="X12"/>
    </row>
    <row r="13" spans="2:24" ht="20" customHeight="1" thickBot="1" x14ac:dyDescent="0.25">
      <c r="J13"/>
      <c r="K13"/>
      <c r="L13" s="200"/>
      <c r="M13" s="49">
        <f ca="1">M24+M28+M35</f>
        <v>31</v>
      </c>
      <c r="N13" s="49">
        <f ca="1">N24+N28+N35</f>
        <v>88</v>
      </c>
      <c r="O13" s="49">
        <f ca="1">O24+O28+O35</f>
        <v>80</v>
      </c>
      <c r="P13" s="49">
        <f ca="1">P28</f>
        <v>700</v>
      </c>
      <c r="V13"/>
      <c r="W13"/>
      <c r="X13"/>
    </row>
    <row r="14" spans="2:24" ht="17" thickBot="1" x14ac:dyDescent="0.25">
      <c r="E14" s="37" t="s">
        <v>0</v>
      </c>
      <c r="G14" s="184" t="s">
        <v>10</v>
      </c>
      <c r="H14" s="185"/>
      <c r="I14" s="184" t="s">
        <v>53</v>
      </c>
      <c r="J14" s="185"/>
      <c r="K14"/>
      <c r="L14" s="81" t="s">
        <v>50</v>
      </c>
      <c r="M14" s="49">
        <f>'Load Calculation'!F55</f>
        <v>12</v>
      </c>
      <c r="N14" s="49">
        <f>'Load Calculation'!E55</f>
        <v>48</v>
      </c>
      <c r="O14" s="49">
        <f>'Load Calculation'!G55</f>
        <v>360</v>
      </c>
      <c r="P14" s="49">
        <v>0</v>
      </c>
      <c r="Q14" t="s">
        <v>147</v>
      </c>
      <c r="V14"/>
      <c r="W14"/>
      <c r="X14"/>
    </row>
    <row r="15" spans="2:24" ht="18" thickBot="1" x14ac:dyDescent="0.25">
      <c r="E15" s="82"/>
      <c r="F15" s="83" t="s">
        <v>1</v>
      </c>
      <c r="G15" s="11" t="s">
        <v>3</v>
      </c>
      <c r="H15" s="84" t="s">
        <v>2</v>
      </c>
      <c r="I15" s="11" t="s">
        <v>3</v>
      </c>
      <c r="J15" s="84" t="s">
        <v>2</v>
      </c>
      <c r="K15"/>
      <c r="L15" s="33" t="s">
        <v>22</v>
      </c>
      <c r="M15" s="1" t="s">
        <v>32</v>
      </c>
      <c r="N15" s="1" t="s">
        <v>34</v>
      </c>
      <c r="O15" s="1" t="s">
        <v>35</v>
      </c>
      <c r="P15" s="2"/>
      <c r="V15"/>
      <c r="W15"/>
      <c r="X15"/>
    </row>
    <row r="16" spans="2:24" ht="18" customHeight="1" thickBot="1" x14ac:dyDescent="0.25">
      <c r="B16" s="22" t="s">
        <v>26</v>
      </c>
      <c r="D16" s="210" t="s">
        <v>4</v>
      </c>
      <c r="E16" s="85" t="s">
        <v>55</v>
      </c>
      <c r="F16" s="146" t="s">
        <v>5</v>
      </c>
      <c r="G16" s="132" t="s">
        <v>57</v>
      </c>
      <c r="H16" s="162">
        <v>11</v>
      </c>
      <c r="I16" s="86" t="s">
        <v>61</v>
      </c>
      <c r="J16" s="48">
        <v>1000</v>
      </c>
      <c r="K16"/>
      <c r="L16" s="30" t="str">
        <f>E16&amp;" - "&amp;IF(F16="Y","Calculated  ","Not Selected  ")</f>
        <v xml:space="preserve">Environment Size - Calculated  </v>
      </c>
      <c r="M16" s="50">
        <f ca="1">OFFSET('Load Calculation'!J19,'Load Calculation'!E5,0)</f>
        <v>31</v>
      </c>
      <c r="N16" s="50">
        <f ca="1">OFFSET('Load Calculation'!K19,'Load Calculation'!E5,0)</f>
        <v>88</v>
      </c>
      <c r="O16" s="50">
        <f ca="1">OFFSET('Load Calculation'!N19,'Load Calculation'!E5,0)</f>
        <v>80</v>
      </c>
      <c r="P16" s="87"/>
      <c r="V16"/>
      <c r="W16"/>
      <c r="X16"/>
    </row>
    <row r="17" spans="2:24" ht="18" customHeight="1" thickBot="1" x14ac:dyDescent="0.25">
      <c r="B17" s="23" t="s">
        <v>5</v>
      </c>
      <c r="D17" s="211"/>
      <c r="E17" s="154"/>
      <c r="F17" s="155"/>
      <c r="G17" s="132" t="s">
        <v>58</v>
      </c>
      <c r="H17" s="162">
        <v>60</v>
      </c>
      <c r="I17" s="88"/>
      <c r="J17" s="147"/>
      <c r="K17"/>
      <c r="L17" s="31"/>
      <c r="M17" s="51"/>
      <c r="N17" s="51"/>
      <c r="O17" s="51"/>
      <c r="P17" s="89"/>
      <c r="V17"/>
      <c r="W17"/>
      <c r="X17"/>
    </row>
    <row r="18" spans="2:24" ht="18" customHeight="1" thickBot="1" x14ac:dyDescent="0.25">
      <c r="B18" s="24" t="s">
        <v>6</v>
      </c>
      <c r="D18" s="211"/>
      <c r="E18" s="156"/>
      <c r="F18" s="155"/>
      <c r="G18" s="130" t="s">
        <v>59</v>
      </c>
      <c r="H18" s="131">
        <v>50</v>
      </c>
      <c r="I18" s="148"/>
      <c r="J18" s="148"/>
      <c r="K18"/>
      <c r="L18" s="31"/>
      <c r="M18" s="51"/>
      <c r="N18" s="51"/>
      <c r="O18" s="51"/>
      <c r="P18" s="89"/>
      <c r="V18"/>
      <c r="W18"/>
      <c r="X18"/>
    </row>
    <row r="19" spans="2:24" ht="18" customHeight="1" thickBot="1" x14ac:dyDescent="0.25">
      <c r="D19" s="211"/>
      <c r="E19" s="154"/>
      <c r="F19" s="157"/>
      <c r="G19" s="88" t="s">
        <v>60</v>
      </c>
      <c r="H19" s="131"/>
      <c r="I19" s="148"/>
      <c r="J19" s="149"/>
      <c r="K19"/>
      <c r="L19" s="29"/>
      <c r="M19" s="51"/>
      <c r="N19" s="51"/>
      <c r="O19" s="51"/>
      <c r="P19" s="89"/>
      <c r="V19"/>
      <c r="W19"/>
      <c r="X19"/>
    </row>
    <row r="20" spans="2:24" ht="18" customHeight="1" x14ac:dyDescent="0.2">
      <c r="B20" s="22" t="s">
        <v>25</v>
      </c>
      <c r="D20" s="211"/>
      <c r="E20" s="154"/>
      <c r="F20" s="157"/>
      <c r="G20" s="88" t="s">
        <v>85</v>
      </c>
      <c r="H20" s="47">
        <v>200</v>
      </c>
      <c r="I20" s="150"/>
      <c r="J20" s="149"/>
      <c r="K20"/>
      <c r="L20" s="31"/>
      <c r="M20" s="51"/>
      <c r="N20" s="51"/>
      <c r="O20" s="51"/>
      <c r="P20" s="90"/>
      <c r="V20"/>
      <c r="W20"/>
      <c r="X20"/>
    </row>
    <row r="21" spans="2:24" ht="18" customHeight="1" thickBot="1" x14ac:dyDescent="0.25">
      <c r="B21" s="35" t="str">
        <f>IF(AND(COUNTIF(F16:F23,"Y")&gt;1,F21="Y",F10="Y"),"Y","N")</f>
        <v>N</v>
      </c>
      <c r="D21" s="211"/>
      <c r="E21" s="158"/>
      <c r="F21" s="159"/>
      <c r="G21" s="88"/>
      <c r="H21" s="147"/>
      <c r="I21" s="150"/>
      <c r="J21" s="26"/>
      <c r="K21"/>
      <c r="L21" s="31"/>
      <c r="M21" s="51"/>
      <c r="N21" s="51"/>
      <c r="O21" s="51"/>
      <c r="P21" s="52"/>
      <c r="V21"/>
      <c r="W21"/>
      <c r="X21"/>
    </row>
    <row r="22" spans="2:24" ht="18" customHeight="1" thickBot="1" x14ac:dyDescent="0.25">
      <c r="D22" s="211"/>
      <c r="E22" s="158"/>
      <c r="F22" s="155"/>
      <c r="G22" s="88"/>
      <c r="H22" s="147"/>
      <c r="I22" s="150"/>
      <c r="J22" s="26"/>
      <c r="K22"/>
      <c r="L22" s="31"/>
      <c r="M22" s="51"/>
      <c r="N22" s="51"/>
      <c r="O22" s="51"/>
      <c r="P22" s="89"/>
      <c r="V22"/>
      <c r="W22"/>
      <c r="X22"/>
    </row>
    <row r="23" spans="2:24" ht="18" customHeight="1" thickBot="1" x14ac:dyDescent="0.25">
      <c r="B23" s="22" t="s">
        <v>39</v>
      </c>
      <c r="D23" s="212"/>
      <c r="E23" s="160"/>
      <c r="F23" s="161"/>
      <c r="G23" s="152"/>
      <c r="H23" s="153"/>
      <c r="I23" s="151"/>
      <c r="J23" s="27"/>
      <c r="K23"/>
      <c r="L23" s="32"/>
      <c r="M23" s="51"/>
      <c r="N23" s="51"/>
      <c r="O23" s="51"/>
      <c r="P23" s="91"/>
      <c r="V23"/>
      <c r="W23"/>
      <c r="X23"/>
    </row>
    <row r="24" spans="2:24" ht="17" thickBot="1" x14ac:dyDescent="0.25">
      <c r="B24" s="24" t="str">
        <f>IF(OR(AND($F$16="Y",$F$7="N"),AND($F$17="Y",$F$7="N"),AND($F$18="Y",$F$8="N"),$F$19="Y",$F$20="Y",$F$22="Y"),"Y","N")</f>
        <v>Y</v>
      </c>
      <c r="K24"/>
      <c r="L24" s="28" t="s">
        <v>9</v>
      </c>
      <c r="M24" s="53">
        <f ca="1">SUM(M16:M23)</f>
        <v>31</v>
      </c>
      <c r="N24" s="53">
        <f ca="1">SUM(N16:N23)</f>
        <v>88</v>
      </c>
      <c r="O24" s="53">
        <f ca="1">SUM(O16:O23)</f>
        <v>80</v>
      </c>
      <c r="P24" s="54">
        <f>SUM(P16:P23)</f>
        <v>0</v>
      </c>
      <c r="V24"/>
      <c r="W24"/>
      <c r="X24"/>
    </row>
    <row r="25" spans="2:24" ht="15" customHeight="1" thickBot="1" x14ac:dyDescent="0.25">
      <c r="J25"/>
      <c r="K25"/>
      <c r="V25"/>
      <c r="W25"/>
      <c r="X25"/>
    </row>
    <row r="26" spans="2:24" ht="16" customHeight="1" thickBot="1" x14ac:dyDescent="0.25">
      <c r="B26" s="22" t="s">
        <v>40</v>
      </c>
      <c r="J26"/>
      <c r="K26"/>
      <c r="L26" s="33" t="s">
        <v>23</v>
      </c>
      <c r="M26" s="3"/>
      <c r="N26" s="1"/>
      <c r="O26" s="1"/>
      <c r="P26" s="3" t="s">
        <v>77</v>
      </c>
      <c r="V26"/>
      <c r="W26"/>
      <c r="X26"/>
    </row>
    <row r="27" spans="2:24" ht="16" customHeight="1" thickBot="1" x14ac:dyDescent="0.25">
      <c r="B27" s="24" t="str">
        <f>IF(AND(OR(F7="N",F8="N"),F9="Y",COUNTIF(F16:F18,"Y")&gt;0),"Y","N")</f>
        <v>N</v>
      </c>
      <c r="J27"/>
      <c r="L27" s="34" t="s">
        <v>136</v>
      </c>
      <c r="M27" s="55"/>
      <c r="N27" s="56"/>
      <c r="O27" s="56"/>
      <c r="P27" s="56">
        <f ca="1">OFFSET('Load Calculation'!O19,'Load Calculation'!E5,0)</f>
        <v>700</v>
      </c>
      <c r="V27"/>
      <c r="W27"/>
      <c r="X27"/>
    </row>
    <row r="28" spans="2:24" ht="16" customHeight="1" thickBot="1" x14ac:dyDescent="0.25">
      <c r="J28"/>
      <c r="K28"/>
      <c r="L28" s="28"/>
      <c r="M28" s="60"/>
      <c r="N28" s="60"/>
      <c r="O28" s="60"/>
      <c r="P28" s="60">
        <f ca="1">SUM(P27:P27)</f>
        <v>700</v>
      </c>
      <c r="V28"/>
      <c r="W28"/>
      <c r="X28"/>
    </row>
    <row r="29" spans="2:24" ht="16" customHeight="1" thickBot="1" x14ac:dyDescent="0.25">
      <c r="B29" s="22" t="s">
        <v>41</v>
      </c>
      <c r="J29"/>
      <c r="K29"/>
      <c r="V29"/>
      <c r="W29"/>
      <c r="X29"/>
    </row>
    <row r="30" spans="2:24" ht="16" customHeight="1" thickBot="1" x14ac:dyDescent="0.25">
      <c r="B30" s="23">
        <f ca="1">IF(AND(B27="N",B21="N"),M46,IF(AND(B27="Y",B21="Y"),M46-M27-#REF!-M21-(F11*#REF!)-(F11*#REF!)-(F11*#REF!),IF(B21="Y",M46-M21-(F11*#REF!),M46-M27-#REF!-(F11*#REF!)-(F11*#REF!))))</f>
        <v>99</v>
      </c>
      <c r="J30"/>
      <c r="K30"/>
      <c r="L30" s="33"/>
      <c r="M30" s="3"/>
      <c r="N30" s="5"/>
      <c r="O30" s="5"/>
      <c r="P30" s="3"/>
      <c r="V30"/>
      <c r="W30"/>
      <c r="X30"/>
    </row>
    <row r="31" spans="2:24" ht="16" customHeight="1" x14ac:dyDescent="0.2">
      <c r="B31" s="23">
        <f ca="1">IF(AND(B27="N",B21="N"),N46,IF(AND(B27="Y",B21="Y"),N46-N27-#REF!-N21-(F11*#REF!)-(F11*#REF!)-(F11*#REF!),IF(B21="Y",N46-N21-(F11*#REF!),N46-N27-#REF!-(F11*#REF!)-(F11*#REF!))))</f>
        <v>304</v>
      </c>
      <c r="D31" s="93"/>
      <c r="F31" s="92"/>
      <c r="G31" s="92"/>
      <c r="K31"/>
      <c r="L31" s="42"/>
      <c r="M31" s="61"/>
      <c r="N31" s="62"/>
      <c r="O31" s="96"/>
      <c r="P31" s="96"/>
      <c r="V31"/>
      <c r="W31"/>
      <c r="X31"/>
    </row>
    <row r="32" spans="2:24" ht="16" customHeight="1" thickBot="1" x14ac:dyDescent="0.25">
      <c r="B32" s="24">
        <f>IF(B21="N",Q53,Q53-P21-(F11*#REF!))</f>
        <v>0</v>
      </c>
      <c r="F32" s="92"/>
      <c r="G32" s="92"/>
      <c r="H32" s="92"/>
      <c r="J32"/>
      <c r="K32"/>
      <c r="L32" s="36"/>
      <c r="M32" s="57"/>
      <c r="N32" s="58"/>
      <c r="O32" s="58"/>
      <c r="P32" s="58"/>
      <c r="V32"/>
      <c r="W32"/>
      <c r="X32"/>
    </row>
    <row r="33" spans="2:24" ht="16" customHeight="1" thickBot="1" x14ac:dyDescent="0.25">
      <c r="F33" s="92"/>
      <c r="K33"/>
      <c r="L33" s="36"/>
      <c r="M33" s="57"/>
      <c r="N33" s="58"/>
      <c r="O33" s="57"/>
      <c r="P33" s="57"/>
      <c r="V33"/>
      <c r="W33"/>
      <c r="X33"/>
    </row>
    <row r="34" spans="2:24" ht="16" customHeight="1" thickBot="1" x14ac:dyDescent="0.25">
      <c r="B34" s="22" t="s">
        <v>42</v>
      </c>
      <c r="F34" s="92"/>
      <c r="K34"/>
      <c r="L34" s="43"/>
      <c r="M34" s="59"/>
      <c r="N34" s="63"/>
      <c r="O34" s="59"/>
      <c r="P34" s="59"/>
      <c r="V34"/>
      <c r="W34"/>
      <c r="X34"/>
    </row>
    <row r="35" spans="2:24" ht="17" customHeight="1" thickBot="1" x14ac:dyDescent="0.25">
      <c r="B35" s="23">
        <f>IF(B21="N",0,M21+(F11*#REF!))</f>
        <v>0</v>
      </c>
      <c r="F35" s="92"/>
      <c r="K35"/>
      <c r="L35" s="37"/>
      <c r="M35" s="60"/>
      <c r="N35" s="60"/>
      <c r="O35" s="60"/>
      <c r="P35" s="60"/>
      <c r="S35" s="4"/>
      <c r="V35"/>
      <c r="W35"/>
      <c r="X35"/>
    </row>
    <row r="36" spans="2:24" ht="17" customHeight="1" thickBot="1" x14ac:dyDescent="0.25">
      <c r="B36" s="23">
        <f>IF(B21="N",0,N21+(F11*#REF!))</f>
        <v>0</v>
      </c>
      <c r="J36"/>
      <c r="K36"/>
      <c r="L36" s="37"/>
      <c r="M36" s="38"/>
      <c r="N36" s="38"/>
      <c r="O36" s="38"/>
      <c r="P36" s="38"/>
      <c r="S36" s="94"/>
      <c r="V36"/>
      <c r="W36"/>
      <c r="X36"/>
    </row>
    <row r="37" spans="2:24" ht="17" customHeight="1" thickBot="1" x14ac:dyDescent="0.3">
      <c r="B37" s="24">
        <f>IF(B21="N",0,Q53)</f>
        <v>0</v>
      </c>
      <c r="I37" s="95"/>
      <c r="J37" s="25"/>
      <c r="K37"/>
      <c r="L37" s="126" t="s">
        <v>28</v>
      </c>
      <c r="M37" s="127"/>
      <c r="N37" s="127"/>
      <c r="O37" s="127"/>
      <c r="P37" s="127"/>
      <c r="S37" s="94"/>
      <c r="V37"/>
      <c r="W37"/>
      <c r="X37"/>
    </row>
    <row r="38" spans="2:24" ht="17" customHeight="1" thickBot="1" x14ac:dyDescent="0.25">
      <c r="I38" s="95"/>
      <c r="J38" s="25"/>
      <c r="K38"/>
      <c r="L38" s="41" t="s">
        <v>13</v>
      </c>
      <c r="M38" s="98" t="s">
        <v>32</v>
      </c>
      <c r="N38" s="98" t="s">
        <v>34</v>
      </c>
      <c r="O38" s="98" t="s">
        <v>35</v>
      </c>
      <c r="P38" s="98" t="s">
        <v>36</v>
      </c>
      <c r="S38" s="94"/>
      <c r="V38"/>
      <c r="W38"/>
      <c r="X38"/>
    </row>
    <row r="39" spans="2:24" ht="15.75" customHeight="1" thickBot="1" x14ac:dyDescent="0.25">
      <c r="B39" s="22" t="s">
        <v>43</v>
      </c>
      <c r="I39" s="95"/>
      <c r="J39" s="25"/>
      <c r="K39"/>
      <c r="L39" s="99" t="s">
        <v>24</v>
      </c>
      <c r="M39" s="64">
        <f ca="1">M24</f>
        <v>31</v>
      </c>
      <c r="N39" s="64">
        <f ca="1">N24</f>
        <v>88</v>
      </c>
      <c r="O39" s="64">
        <f ca="1">O24</f>
        <v>80</v>
      </c>
      <c r="P39" s="64">
        <f ca="1">P28+P35</f>
        <v>700</v>
      </c>
      <c r="S39" s="94"/>
      <c r="V39"/>
      <c r="W39"/>
      <c r="X39"/>
    </row>
    <row r="40" spans="2:24" ht="15.75" customHeight="1" x14ac:dyDescent="0.2">
      <c r="B40" s="23">
        <f>IF(B27="N",0,M27+#REF!+(F11*#REF!)+(F11*#REF!))</f>
        <v>0</v>
      </c>
      <c r="I40" s="95"/>
      <c r="J40" s="25"/>
      <c r="K40"/>
      <c r="L40" s="124" t="s">
        <v>29</v>
      </c>
      <c r="M40" s="125"/>
      <c r="N40" s="125"/>
      <c r="O40" s="125"/>
      <c r="P40" s="125"/>
      <c r="S40" s="94"/>
      <c r="V40"/>
      <c r="W40"/>
      <c r="X40"/>
    </row>
    <row r="41" spans="2:24" ht="15.75" customHeight="1" x14ac:dyDescent="0.2">
      <c r="B41" s="23">
        <f>IF(B27="N",0,N27+#REF!+(F11*#REF!)+(F11*#REF!))</f>
        <v>0</v>
      </c>
      <c r="H41" s="97"/>
      <c r="K41"/>
      <c r="L41" s="114" t="str">
        <f>"Total Development Clusters:  "</f>
        <v xml:space="preserve">Total Development Clusters:  </v>
      </c>
      <c r="M41" s="115">
        <f>F11</f>
        <v>4</v>
      </c>
      <c r="N41" s="100"/>
      <c r="O41" s="100"/>
      <c r="P41" s="100"/>
      <c r="Q41" s="4"/>
      <c r="V41"/>
      <c r="W41"/>
      <c r="X41"/>
    </row>
    <row r="42" spans="2:24" ht="16" customHeight="1" thickBot="1" x14ac:dyDescent="0.25">
      <c r="B42" s="24">
        <f>COUNTIF(M27:M27,"&gt;0")+COUNTIF(M27:M27,"&gt;0")*F11</f>
        <v>0</v>
      </c>
      <c r="H42" s="97"/>
      <c r="I42" s="97"/>
      <c r="L42" s="116" t="s">
        <v>13</v>
      </c>
      <c r="M42" s="98" t="s">
        <v>32</v>
      </c>
      <c r="N42" s="98" t="s">
        <v>34</v>
      </c>
      <c r="O42" s="98" t="s">
        <v>35</v>
      </c>
      <c r="P42" s="98" t="s">
        <v>36</v>
      </c>
      <c r="R42" s="94"/>
      <c r="V42"/>
      <c r="W42"/>
      <c r="X42"/>
    </row>
    <row r="43" spans="2:24" ht="16" customHeight="1" thickBot="1" x14ac:dyDescent="0.25">
      <c r="H43" s="97"/>
      <c r="I43" s="97"/>
      <c r="L43" s="99" t="s">
        <v>27</v>
      </c>
      <c r="M43" s="117">
        <f>'[1]Load Calculation'!J33*M41</f>
        <v>68</v>
      </c>
      <c r="N43" s="117">
        <f>'[1]Load Calculation'!K33*M41</f>
        <v>216</v>
      </c>
      <c r="O43" s="117">
        <f ca="1">IF('[1]V9.1 Calculator'!F12="Y",O39*M41,'[1]Load Calculation'!N33)*M41</f>
        <v>1280</v>
      </c>
      <c r="P43" s="117">
        <f>'[1]Load Calculation'!O33*M41</f>
        <v>880</v>
      </c>
      <c r="R43" s="94"/>
      <c r="V43"/>
      <c r="W43"/>
      <c r="X43"/>
    </row>
    <row r="44" spans="2:24" ht="19" customHeight="1" x14ac:dyDescent="0.25">
      <c r="B44" s="22" t="s">
        <v>47</v>
      </c>
      <c r="H44" s="97"/>
      <c r="I44" s="97"/>
      <c r="L44" s="120" t="s">
        <v>83</v>
      </c>
      <c r="M44" s="121"/>
      <c r="N44" s="121"/>
      <c r="O44" s="121"/>
      <c r="P44" s="121"/>
      <c r="R44" s="94"/>
      <c r="V44"/>
      <c r="W44"/>
      <c r="X44"/>
    </row>
    <row r="45" spans="2:24" ht="17" customHeight="1" thickBot="1" x14ac:dyDescent="0.25">
      <c r="B45" s="24">
        <f>COUNTIF(L16:L34,"*Beyond Large*")</f>
        <v>0</v>
      </c>
      <c r="I45" s="97"/>
      <c r="L45" s="216" t="s">
        <v>13</v>
      </c>
      <c r="M45" s="98" t="s">
        <v>32</v>
      </c>
      <c r="N45" s="98" t="s">
        <v>34</v>
      </c>
      <c r="O45" s="98" t="s">
        <v>35</v>
      </c>
      <c r="P45" s="98" t="s">
        <v>36</v>
      </c>
      <c r="V45"/>
      <c r="W45"/>
      <c r="X45"/>
    </row>
    <row r="46" spans="2:24" ht="17" customHeight="1" thickBot="1" x14ac:dyDescent="0.25">
      <c r="I46" s="97"/>
      <c r="J46"/>
      <c r="K46"/>
      <c r="L46" s="217"/>
      <c r="M46" s="65">
        <f ca="1">M39+M43</f>
        <v>99</v>
      </c>
      <c r="N46" s="65">
        <f ca="1">N39+N43</f>
        <v>304</v>
      </c>
      <c r="O46" s="65">
        <f ca="1">O39+O43</f>
        <v>1360</v>
      </c>
      <c r="P46" s="65">
        <f ca="1">P39+P43</f>
        <v>1580</v>
      </c>
      <c r="V46"/>
      <c r="W46"/>
      <c r="X46"/>
    </row>
    <row r="47" spans="2:24" ht="17" customHeight="1" thickBot="1" x14ac:dyDescent="0.25">
      <c r="J47"/>
      <c r="K47"/>
      <c r="V47"/>
      <c r="W47"/>
      <c r="X47"/>
    </row>
    <row r="48" spans="2:24" ht="16" customHeight="1" thickBot="1" x14ac:dyDescent="0.25">
      <c r="J48"/>
      <c r="K48"/>
      <c r="L48" s="118" t="s">
        <v>46</v>
      </c>
      <c r="M48" s="119"/>
      <c r="N48" s="119"/>
      <c r="O48" s="119"/>
      <c r="P48" s="119"/>
      <c r="S48" s="101"/>
      <c r="V48"/>
      <c r="W48"/>
      <c r="X48"/>
    </row>
    <row r="49" spans="12:19" customFormat="1" ht="20" customHeight="1" thickBot="1" x14ac:dyDescent="0.25">
      <c r="L49" s="220" t="s">
        <v>11</v>
      </c>
      <c r="M49" s="221"/>
      <c r="N49" s="102" t="s">
        <v>18</v>
      </c>
      <c r="O49" s="103" t="s">
        <v>33</v>
      </c>
      <c r="P49" s="104" t="s">
        <v>30</v>
      </c>
      <c r="S49" s="101"/>
    </row>
    <row r="50" spans="12:19" customFormat="1" ht="82" customHeight="1" thickBot="1" x14ac:dyDescent="0.25">
      <c r="L50" s="218" t="s">
        <v>82</v>
      </c>
      <c r="M50" s="219"/>
      <c r="N50" s="46">
        <f>IF(F6="Y",0,IF(F5="Y",3,1))</f>
        <v>1</v>
      </c>
      <c r="O50" s="105"/>
      <c r="P50" s="106"/>
      <c r="S50" s="101"/>
    </row>
    <row r="51" spans="12:19" customFormat="1" ht="62" customHeight="1" x14ac:dyDescent="0.25">
      <c r="L51" s="222" t="str">
        <f ca="1">"Totals: ("&amp;B30&amp;" vCPUs | "&amp;B31&amp;" Mem GiB | "&amp;B32&amp;" GPUs)"&amp;CHAR(10)&amp;" Each Worker Node: vCPUs="&amp;O63&amp;", Memory="&amp;O64&amp;IF(B21="N","GiB, GPUs="&amp;O65,"")</f>
        <v>Totals: (99 vCPUs | 304 Mem GiB | 0 GPUs)
 Each Worker Node: vCPUs=16 , Memory=128GiB, GPUs=</v>
      </c>
      <c r="M51" s="223"/>
      <c r="N51" s="44">
        <f ca="1">MAX(IF(OR(F5="N",F6="Y",F9="Y",F10="Y"),0,2),ROUNDUP(B30/O63,0),ROUNDUP(B31/O64,0),IF(O65=0,0,ROUNDUP(B32/O65,0)))</f>
        <v>7</v>
      </c>
      <c r="O51" s="66">
        <f ca="1">B30/O63</f>
        <v>6.1875</v>
      </c>
      <c r="P51" s="67">
        <f ca="1">B31/O64</f>
        <v>2.375</v>
      </c>
      <c r="S51" s="101"/>
    </row>
    <row r="52" spans="12:19" customFormat="1" ht="21" x14ac:dyDescent="0.25">
      <c r="L52" s="224" t="str">
        <f>"Totals: ("&amp;B35&amp;" vCPUs | "&amp;B36&amp;" Mem GiB | "&amp;B37&amp;" GPUs)"&amp;CHAR(10)&amp;" Each Worker Node:  vCPUs="&amp;O70&amp;", Memory="&amp;O71&amp;", GPUs="&amp;O72</f>
        <v>Totals: (0 vCPUs | 0 Mem GiB | 0 GPUs)
 Each Worker Node:  vCPUs=16, Memory=256, GPUs=4</v>
      </c>
      <c r="M52" s="225"/>
      <c r="N52" s="72" t="str">
        <f>IF(B21="N","",MAX(ROUNDUP((M21)/O70,0),ROUNDUP((N21)/O71,0),IF(O72=0,0,ROUNDUP((Q53)/O72,0))))</f>
        <v/>
      </c>
      <c r="O52" s="73" t="str">
        <f>IF(B21="Y",B35/O70,"")</f>
        <v/>
      </c>
      <c r="P52" s="74" t="str">
        <f>IF(B21="Y",B36/O71,"")</f>
        <v/>
      </c>
    </row>
    <row r="53" spans="12:19" customFormat="1" ht="22" thickBot="1" x14ac:dyDescent="0.3">
      <c r="L53" s="226" t="str">
        <f>"Totals: # of DB Instances = "&amp;B42&amp;"  ("&amp;B40&amp;" vCPUs | "&amp;B41&amp;" Mem GiB)"&amp;CHAR(10)&amp;" Each DB Server Node: vCPUs="&amp;O77&amp;", Memory="&amp;O78</f>
        <v>Totals: # of DB Instances = 0  (0 vCPUs | 0 Mem GiB)
 Each DB Server Node: vCPUs=32, Memory=256</v>
      </c>
      <c r="M53" s="227"/>
      <c r="N53" s="75" t="str">
        <f>IF(B27="N","",MAX(ROUNDUP(B40/O77,0),ROUNDUP(B41/O78,0)))</f>
        <v/>
      </c>
      <c r="O53" s="70" t="str">
        <f>IF(B27="Y",B40/O77,"")</f>
        <v/>
      </c>
      <c r="P53" s="71" t="str">
        <f>IF(B27="Y",B41/O78,"")</f>
        <v/>
      </c>
    </row>
    <row r="54" spans="12:19" customFormat="1" ht="25" customHeight="1" thickBot="1" x14ac:dyDescent="0.3">
      <c r="L54" s="186" t="s">
        <v>44</v>
      </c>
      <c r="M54" s="187"/>
      <c r="N54" s="45">
        <f ca="1">O46</f>
        <v>1360</v>
      </c>
      <c r="O54" s="107"/>
      <c r="P54" s="108"/>
    </row>
    <row r="55" spans="12:19" customFormat="1" ht="25" customHeight="1" thickBot="1" x14ac:dyDescent="0.3">
      <c r="L55" s="186" t="s">
        <v>45</v>
      </c>
      <c r="M55" s="187"/>
      <c r="N55" s="68">
        <f ca="1">P46</f>
        <v>1580</v>
      </c>
      <c r="O55" s="109"/>
      <c r="P55" s="110"/>
    </row>
    <row r="56" spans="12:19" customFormat="1" ht="22" customHeight="1" thickBot="1" x14ac:dyDescent="0.25">
      <c r="L56" s="122" t="str">
        <f ca="1">IF(COUNTIF(L16:L34,"*Beyond Large*")&gt;0,"Warning Sizing Contains Beyond Large, Contact Product Management Before Finalizing the Sizing",IF(AND(N51-O51&gt;=1,N51-P51&gt;=1,N51-Q58&gt;=1,N52="",N53=""),"Minimum Configuration for OpenShift Requires at Least 2 Work Nodes",""))</f>
        <v/>
      </c>
      <c r="M56" s="123"/>
      <c r="N56" s="123"/>
      <c r="O56" s="123"/>
      <c r="P56" s="123"/>
    </row>
    <row r="57" spans="12:19" customFormat="1" ht="43" customHeight="1" x14ac:dyDescent="0.2">
      <c r="L57" t="str">
        <f>IF(B27="N","",IF(B42&lt;N53,"Alert: Total DB instances are less than servers defined with isolation selected. Recommend increasing DB Worker Node vCPUs &amp;/or Memory.",""))</f>
        <v/>
      </c>
    </row>
    <row r="58" spans="12:19" customFormat="1" ht="40" customHeight="1" x14ac:dyDescent="0.2"/>
    <row r="59" spans="12:19" customFormat="1" ht="38" customHeight="1" thickBot="1" x14ac:dyDescent="0.25">
      <c r="P59" s="78"/>
    </row>
    <row r="60" spans="12:19" customFormat="1" ht="38" customHeight="1" thickBot="1" x14ac:dyDescent="0.25">
      <c r="M60" s="234" t="s">
        <v>84</v>
      </c>
      <c r="N60" s="235"/>
      <c r="O60" s="236"/>
    </row>
    <row r="61" spans="12:19" customFormat="1" ht="38" customHeight="1" x14ac:dyDescent="0.2">
      <c r="M61" s="228" t="s">
        <v>38</v>
      </c>
      <c r="N61" s="229"/>
      <c r="O61" s="76">
        <v>1</v>
      </c>
    </row>
    <row r="62" spans="12:19" customFormat="1" ht="39" customHeight="1" x14ac:dyDescent="0.2">
      <c r="M62" s="232" t="s">
        <v>37</v>
      </c>
      <c r="N62" s="233"/>
      <c r="O62" s="77">
        <v>16</v>
      </c>
    </row>
    <row r="63" spans="12:19" customFormat="1" ht="15.75" customHeight="1" x14ac:dyDescent="0.2">
      <c r="M63" s="195" t="s">
        <v>48</v>
      </c>
      <c r="N63" s="196"/>
      <c r="O63" s="113" t="str">
        <f>O61*O62&amp;" "</f>
        <v xml:space="preserve">16 </v>
      </c>
    </row>
    <row r="64" spans="12:19" customFormat="1" ht="15.75" customHeight="1" x14ac:dyDescent="0.2">
      <c r="M64" s="230" t="s">
        <v>34</v>
      </c>
      <c r="N64" s="231"/>
      <c r="O64" s="112">
        <v>128</v>
      </c>
    </row>
    <row r="65" spans="10:24" ht="17" thickBot="1" x14ac:dyDescent="0.25">
      <c r="J65" s="20"/>
      <c r="K65" s="20"/>
      <c r="M65" s="197"/>
      <c r="N65" s="198"/>
      <c r="P65" t="str">
        <f>IF(AND(O65=0,$B$21="N",F21="Y"),"&lt;===== Enter GPUs Per Server","")</f>
        <v/>
      </c>
      <c r="R65" s="21"/>
      <c r="V65"/>
      <c r="W65"/>
      <c r="X65"/>
    </row>
    <row r="66" spans="10:24" x14ac:dyDescent="0.2">
      <c r="J66"/>
      <c r="Q66" s="78"/>
      <c r="V66"/>
      <c r="W66"/>
      <c r="X66"/>
    </row>
    <row r="67" spans="10:24" x14ac:dyDescent="0.2">
      <c r="J67"/>
      <c r="M67" s="7" t="str">
        <f>IF(B21="Y","                 MVI Worker Node Configuration","")</f>
        <v/>
      </c>
      <c r="N67" s="7"/>
      <c r="O67" s="7"/>
      <c r="V67"/>
      <c r="W67"/>
      <c r="X67"/>
    </row>
    <row r="68" spans="10:24" x14ac:dyDescent="0.2">
      <c r="J68"/>
      <c r="K68"/>
      <c r="M68" s="194" t="str">
        <f>IF(B21="Y","CPU Socket Count","")</f>
        <v/>
      </c>
      <c r="N68" s="194"/>
      <c r="O68" s="6">
        <v>1</v>
      </c>
      <c r="V68"/>
      <c r="W68"/>
      <c r="X68"/>
    </row>
    <row r="69" spans="10:24" x14ac:dyDescent="0.2">
      <c r="J69"/>
      <c r="K69"/>
      <c r="M69" s="194" t="str">
        <f>IF(B21="Y","vCPUs per Socket","")</f>
        <v/>
      </c>
      <c r="N69" s="194"/>
      <c r="O69" s="6">
        <v>16</v>
      </c>
      <c r="V69"/>
      <c r="W69"/>
      <c r="X69"/>
    </row>
    <row r="70" spans="10:24" x14ac:dyDescent="0.2">
      <c r="M70" s="194" t="str">
        <f>IF(B21="Y","vCPUs","")</f>
        <v/>
      </c>
      <c r="N70" s="194"/>
      <c r="O70" s="10">
        <f>O68*O69</f>
        <v>16</v>
      </c>
      <c r="V70"/>
      <c r="W70"/>
      <c r="X70"/>
    </row>
    <row r="71" spans="10:24" x14ac:dyDescent="0.2">
      <c r="M71" s="194" t="str">
        <f>IF(B21="Y","Memory (GiB)","")</f>
        <v/>
      </c>
      <c r="N71" s="194"/>
      <c r="O71" s="6">
        <v>256</v>
      </c>
      <c r="V71"/>
      <c r="W71"/>
      <c r="X71"/>
    </row>
    <row r="72" spans="10:24" x14ac:dyDescent="0.2">
      <c r="M72" s="194" t="str">
        <f>IF(B21="Y","GPUs","")</f>
        <v/>
      </c>
      <c r="N72" s="194"/>
      <c r="O72" s="6">
        <v>4</v>
      </c>
    </row>
    <row r="74" spans="10:24" x14ac:dyDescent="0.2">
      <c r="M74" s="7" t="str">
        <f>IF(B27="Y","                  DB Worker Node Configuration","")</f>
        <v/>
      </c>
    </row>
    <row r="75" spans="10:24" x14ac:dyDescent="0.2">
      <c r="M75" s="194" t="str">
        <f>IF(B27="Y","CPU Socket Count","")</f>
        <v/>
      </c>
      <c r="N75" s="194"/>
      <c r="O75" s="6">
        <v>2</v>
      </c>
    </row>
    <row r="76" spans="10:24" x14ac:dyDescent="0.2">
      <c r="M76" s="194" t="str">
        <f>IF(B27="Y","vCPUs per Socket","")</f>
        <v/>
      </c>
      <c r="N76" s="194"/>
      <c r="O76" s="6">
        <v>16</v>
      </c>
    </row>
    <row r="77" spans="10:24" x14ac:dyDescent="0.2">
      <c r="M77" s="194" t="str">
        <f>IF(B27="Y","vCPUs","")</f>
        <v/>
      </c>
      <c r="N77" s="194"/>
      <c r="O77" s="10">
        <f>O75*O76</f>
        <v>32</v>
      </c>
    </row>
    <row r="78" spans="10:24" x14ac:dyDescent="0.2">
      <c r="M78" s="194" t="str">
        <f>IF(B27="Y","Memory (GiB","")</f>
        <v/>
      </c>
      <c r="N78" s="194"/>
      <c r="O78" s="6">
        <v>256</v>
      </c>
    </row>
    <row r="79" spans="10:24" x14ac:dyDescent="0.2">
      <c r="M79" s="69"/>
      <c r="N79" s="69"/>
      <c r="O79" s="111"/>
    </row>
  </sheetData>
  <sheetProtection algorithmName="SHA-512" hashValue="UrsG2ztBcAUClLbSOkKoU6wnHjXMUH5gZ1Yvw04lh/d+pNhpNBz5xxozqEsMTdP2NqKW5MzQ9vf17TEg/frSXQ==" saltValue="qTZCwQp7LF1LlVmWQ/iCwg==" spinCount="100000" sheet="1" objects="1" scenarios="1"/>
  <dataConsolidate/>
  <mergeCells count="38">
    <mergeCell ref="M78:N78"/>
    <mergeCell ref="C8:E8"/>
    <mergeCell ref="M75:N75"/>
    <mergeCell ref="M76:N76"/>
    <mergeCell ref="M77:N77"/>
    <mergeCell ref="C12:E12"/>
    <mergeCell ref="L45:L46"/>
    <mergeCell ref="L50:M50"/>
    <mergeCell ref="L49:M49"/>
    <mergeCell ref="L51:M51"/>
    <mergeCell ref="L52:M52"/>
    <mergeCell ref="L53:M53"/>
    <mergeCell ref="M61:N61"/>
    <mergeCell ref="M64:N64"/>
    <mergeCell ref="M62:N62"/>
    <mergeCell ref="M60:O60"/>
    <mergeCell ref="L54:M54"/>
    <mergeCell ref="L55:M55"/>
    <mergeCell ref="E2:L2"/>
    <mergeCell ref="E3:L3"/>
    <mergeCell ref="M72:N72"/>
    <mergeCell ref="M68:N68"/>
    <mergeCell ref="M69:N69"/>
    <mergeCell ref="M70:N70"/>
    <mergeCell ref="M63:N63"/>
    <mergeCell ref="M65:N65"/>
    <mergeCell ref="M71:N71"/>
    <mergeCell ref="L12:L13"/>
    <mergeCell ref="C9:E9"/>
    <mergeCell ref="C10:E10"/>
    <mergeCell ref="H5:I9"/>
    <mergeCell ref="D16:D23"/>
    <mergeCell ref="C11:E11"/>
    <mergeCell ref="C5:E5"/>
    <mergeCell ref="C6:E6"/>
    <mergeCell ref="C7:E7"/>
    <mergeCell ref="I14:J14"/>
    <mergeCell ref="G14:H14"/>
  </mergeCells>
  <conditionalFormatting sqref="H18:H19">
    <cfRule type="expression" dxfId="48" priority="10">
      <formula>$F$18="N"</formula>
    </cfRule>
  </conditionalFormatting>
  <conditionalFormatting sqref="H20">
    <cfRule type="expression" dxfId="47" priority="8">
      <formula>$F$20="N"</formula>
    </cfRule>
  </conditionalFormatting>
  <conditionalFormatting sqref="H21:H22">
    <cfRule type="expression" dxfId="46" priority="7">
      <formula>$F$21="N"</formula>
    </cfRule>
  </conditionalFormatting>
  <conditionalFormatting sqref="H23">
    <cfRule type="expression" dxfId="45" priority="5">
      <formula>$F$23="N"</formula>
    </cfRule>
  </conditionalFormatting>
  <conditionalFormatting sqref="I17:J17">
    <cfRule type="expression" dxfId="44" priority="43">
      <formula>OR($F$16="Y",$F$17="N")</formula>
    </cfRule>
  </conditionalFormatting>
  <conditionalFormatting sqref="J16 H16:H17">
    <cfRule type="expression" dxfId="43" priority="42">
      <formula>$F$16="N"</formula>
    </cfRule>
  </conditionalFormatting>
  <conditionalFormatting sqref="L19">
    <cfRule type="expression" dxfId="42" priority="176">
      <formula>AND($F$19="Y",OR($F$17="N",$F$18="N"))</formula>
    </cfRule>
  </conditionalFormatting>
  <conditionalFormatting sqref="L20">
    <cfRule type="expression" dxfId="41" priority="95">
      <formula>AND($F$20="Y",$F$17="N")</formula>
    </cfRule>
  </conditionalFormatting>
  <conditionalFormatting sqref="L52">
    <cfRule type="expression" dxfId="40" priority="265">
      <formula>$B$21="Y"</formula>
    </cfRule>
  </conditionalFormatting>
  <conditionalFormatting sqref="L53:M53">
    <cfRule type="expression" dxfId="39" priority="16">
      <formula>$B$27="Y"</formula>
    </cfRule>
  </conditionalFormatting>
  <conditionalFormatting sqref="L16:O16">
    <cfRule type="expression" dxfId="38" priority="83">
      <formula>$F$16="N"</formula>
    </cfRule>
  </conditionalFormatting>
  <conditionalFormatting sqref="L17:O17">
    <cfRule type="expression" dxfId="37" priority="82">
      <formula>$F$17="N"</formula>
    </cfRule>
  </conditionalFormatting>
  <conditionalFormatting sqref="L18:O18">
    <cfRule type="expression" dxfId="36" priority="81">
      <formula>$F$18="N"</formula>
    </cfRule>
  </conditionalFormatting>
  <conditionalFormatting sqref="L19:O19">
    <cfRule type="expression" dxfId="35" priority="80">
      <formula>$F$19="N"</formula>
    </cfRule>
  </conditionalFormatting>
  <conditionalFormatting sqref="L20:O20">
    <cfRule type="expression" dxfId="34" priority="79">
      <formula>$F$20="N"</formula>
    </cfRule>
  </conditionalFormatting>
  <conditionalFormatting sqref="L22:O22">
    <cfRule type="expression" dxfId="33" priority="77">
      <formula>$F$22="N"</formula>
    </cfRule>
  </conditionalFormatting>
  <conditionalFormatting sqref="L23:O23">
    <cfRule type="expression" dxfId="32" priority="76">
      <formula>$F$23="N"</formula>
    </cfRule>
  </conditionalFormatting>
  <conditionalFormatting sqref="L21:P21">
    <cfRule type="expression" dxfId="31" priority="78">
      <formula>$F$21="N"</formula>
    </cfRule>
  </conditionalFormatting>
  <conditionalFormatting sqref="L27:P27">
    <cfRule type="expression" dxfId="30" priority="60">
      <formula>AND($F$16="N",$F$17="N")</formula>
    </cfRule>
  </conditionalFormatting>
  <conditionalFormatting sqref="L31:P34">
    <cfRule type="expression" dxfId="29" priority="38">
      <formula>COUNTIF($F$16:$F$23,"Y")&lt;1</formula>
    </cfRule>
  </conditionalFormatting>
  <conditionalFormatting sqref="L34:P34">
    <cfRule type="expression" dxfId="28" priority="37">
      <formula>$B$24="N"</formula>
    </cfRule>
  </conditionalFormatting>
  <conditionalFormatting sqref="M19">
    <cfRule type="expression" dxfId="27" priority="89">
      <formula>$M$19="Error"</formula>
    </cfRule>
  </conditionalFormatting>
  <conditionalFormatting sqref="M70 O70">
    <cfRule type="expression" dxfId="26" priority="258">
      <formula>$B$21="Y"</formula>
    </cfRule>
  </conditionalFormatting>
  <conditionalFormatting sqref="M77">
    <cfRule type="expression" dxfId="25" priority="27">
      <formula>$B$27="Y"</formula>
    </cfRule>
  </conditionalFormatting>
  <conditionalFormatting sqref="M65:N65">
    <cfRule type="expression" dxfId="24" priority="267">
      <formula>$B$21="Y"</formula>
    </cfRule>
  </conditionalFormatting>
  <conditionalFormatting sqref="M68:N72">
    <cfRule type="expression" dxfId="23" priority="262">
      <formula>$B$21="Y"</formula>
    </cfRule>
  </conditionalFormatting>
  <conditionalFormatting sqref="M75:N78">
    <cfRule type="expression" dxfId="22" priority="26">
      <formula>$B$27="Y"</formula>
    </cfRule>
  </conditionalFormatting>
  <conditionalFormatting sqref="M18:O18">
    <cfRule type="expression" dxfId="21" priority="162">
      <formula>$M$18="Error"</formula>
    </cfRule>
  </conditionalFormatting>
  <conditionalFormatting sqref="M20:O20">
    <cfRule type="expression" dxfId="20" priority="158">
      <formula>$M$20="Error"</formula>
    </cfRule>
  </conditionalFormatting>
  <conditionalFormatting sqref="M67:O67">
    <cfRule type="expression" dxfId="19" priority="257">
      <formula>$B$21="Y"</formula>
    </cfRule>
  </conditionalFormatting>
  <conditionalFormatting sqref="M74:O74">
    <cfRule type="expression" dxfId="18" priority="33">
      <formula>$B$27="Y"</formula>
    </cfRule>
  </conditionalFormatting>
  <conditionalFormatting sqref="M31:P31">
    <cfRule type="expression" dxfId="17" priority="39">
      <formula>#REF!="Not Selected  "</formula>
    </cfRule>
  </conditionalFormatting>
  <conditionalFormatting sqref="N19">
    <cfRule type="expression" dxfId="16" priority="156">
      <formula>$N$19="Error"</formula>
    </cfRule>
  </conditionalFormatting>
  <conditionalFormatting sqref="N20">
    <cfRule type="expression" dxfId="15" priority="87">
      <formula>$N$20="Error"</formula>
    </cfRule>
  </conditionalFormatting>
  <conditionalFormatting sqref="N52">
    <cfRule type="expression" dxfId="14" priority="263">
      <formula>$B$21="Y"</formula>
    </cfRule>
  </conditionalFormatting>
  <conditionalFormatting sqref="N53">
    <cfRule type="expression" dxfId="13" priority="15">
      <formula>$B$27="Y"</formula>
    </cfRule>
  </conditionalFormatting>
  <conditionalFormatting sqref="O19">
    <cfRule type="expression" dxfId="12" priority="157">
      <formula>$O$19="Error"</formula>
    </cfRule>
  </conditionalFormatting>
  <conditionalFormatting sqref="O20">
    <cfRule type="expression" dxfId="11" priority="88">
      <formula>$O$20="Error"</formula>
    </cfRule>
  </conditionalFormatting>
  <conditionalFormatting sqref="O51">
    <cfRule type="expression" dxfId="10" priority="41">
      <formula>AND($O$51&gt;=$P$51,$O$51&gt;=$Q$58,COUNTIF($F$16:$F$23,"Y")&gt;=1)</formula>
    </cfRule>
  </conditionalFormatting>
  <conditionalFormatting sqref="O52">
    <cfRule type="expression" dxfId="9" priority="19">
      <formula>AND($O$52&gt;=$P$52,$O$52&gt;=$Q$59,$B$21="Y")</formula>
    </cfRule>
  </conditionalFormatting>
  <conditionalFormatting sqref="O53">
    <cfRule type="expression" dxfId="8" priority="20">
      <formula>AND($O$53&gt;=$P$53,$B$27="Y")</formula>
    </cfRule>
  </conditionalFormatting>
  <conditionalFormatting sqref="O68:O69 O71:O72">
    <cfRule type="expression" dxfId="7" priority="260">
      <formula>$B$21="Y"</formula>
    </cfRule>
  </conditionalFormatting>
  <conditionalFormatting sqref="O75:O76 O78">
    <cfRule type="expression" dxfId="6" priority="35">
      <formula>$B$27="Y"</formula>
    </cfRule>
  </conditionalFormatting>
  <conditionalFormatting sqref="O77">
    <cfRule type="expression" dxfId="5" priority="34">
      <formula>$B$27="Y"</formula>
    </cfRule>
  </conditionalFormatting>
  <conditionalFormatting sqref="O52:P52">
    <cfRule type="expression" dxfId="4" priority="266">
      <formula>$B$21="Y"</formula>
    </cfRule>
  </conditionalFormatting>
  <conditionalFormatting sqref="O53:P53">
    <cfRule type="expression" dxfId="3" priority="22">
      <formula>$B$27="Y"</formula>
    </cfRule>
  </conditionalFormatting>
  <conditionalFormatting sqref="P51">
    <cfRule type="expression" dxfId="2" priority="40">
      <formula>AND($P$51&gt;=$O$51,$P$51&gt;=$Q$58,COUNTIF($F$16:$F$23,"Y")&gt;=1)</formula>
    </cfRule>
  </conditionalFormatting>
  <conditionalFormatting sqref="P52">
    <cfRule type="expression" dxfId="1" priority="18">
      <formula>AND($P$52&gt;=$O$52,$P$52&gt;=$Q$59,$B$21="Y")</formula>
    </cfRule>
  </conditionalFormatting>
  <conditionalFormatting sqref="P53">
    <cfRule type="expression" dxfId="0" priority="21">
      <formula>AND($P$53&gt;=$O$53,$B$27="Y")</formula>
    </cfRule>
  </conditionalFormatting>
  <dataValidations xWindow="624" yWindow="628" count="20">
    <dataValidation type="whole" operator="greaterThanOrEqual" allowBlank="1" showInputMessage="1" showErrorMessage="1" errorTitle="Invalid input" error="Must be a whole number equal to or greater than 0. " promptTitle="Estimated Number of Leases" prompt="Enter the number of Leases you want to manage" sqref="J16" xr:uid="{C5D37DDF-9B6A-A741-A279-E55FBF11E27F}">
      <formula1>0</formula1>
    </dataValidation>
    <dataValidation type="custom" allowBlank="1" showInputMessage="1" showErrorMessage="1" errorTitle="Must be at least 64GB" error="Maximo Worker Nodes require at least 64GB of memory per server." sqref="O64" xr:uid="{689A0AA7-FF0C-4B4A-BAA0-982F351B84E1}">
      <formula1>O64&gt;=64</formula1>
    </dataValidation>
    <dataValidation type="custom" allowBlank="1" showInputMessage="1" showErrorMessage="1" errorTitle="Must be at least 64GB" error="Maximo Visual Inspection requires at least 64GB of memory per server." sqref="O78 O71" xr:uid="{8071DA28-5C9E-6849-85BB-F8F1499F8984}">
      <formula1>O71&gt;=64</formula1>
    </dataValidation>
    <dataValidation type="whole" operator="greaterThanOrEqual" allowBlank="1" showInputMessage="1" showErrorMessage="1" errorTitle="Dev Environments" error="Must be a whole number greater than or equal to 0." promptTitle="Dev Environmennt Configuration" prompt="Input the number of development environments." sqref="F11" xr:uid="{FC99AF06-AAD7-2746-8D34-5237659A9313}">
      <formula1>0</formula1>
    </dataValidation>
    <dataValidation type="list" allowBlank="1" showInputMessage="1" showErrorMessage="1" promptTitle="MAS Application Enable" sqref="F16:F20 G30" xr:uid="{C60208C9-EA4C-CC4A-BDD4-C1A6A6D4A689}">
      <formula1>$B$17:$B$18</formula1>
    </dataValidation>
    <dataValidation type="list" allowBlank="1" showInputMessage="1" showErrorMessage="1" sqref="F21:F23" xr:uid="{9E0F55A0-5530-5549-B83B-DCF471B17078}">
      <formula1>$B$17:$B$18</formula1>
    </dataValidation>
    <dataValidation type="list" allowBlank="1" showInputMessage="1" showErrorMessage="1" promptTitle="OpenShift Configuration" prompt="If YES, a minimum of 3 servers are required for OpenShift Master nodes &amp; 2 servers are required for OpenShift worker nodes.  If NO, Master nodes are configured for 3 VMs on a single server, &amp; worker nodes are configured for 2 VMs on a single server." sqref="F5" xr:uid="{0CD782EF-E22D-E54B-BCCF-7B72BCFDD164}">
      <formula1>$B$17:$B$18</formula1>
    </dataValidation>
    <dataValidation type="list" allowBlank="1" showInputMessage="1" showErrorMessage="1" promptTitle="Existing OpenShift Deployment?" prompt="If YES, Control Plane Nodes are not required and set to zero.  The 2 node minimum requirement for OpenShift worker nodes is also not required. The OpenShift Worker Nodes cluster wide allocation will remain within the calculations." sqref="F6" xr:uid="{451A54F6-B6AD-1442-BE82-36583233FD2F}">
      <formula1>$B$17:$B$18</formula1>
    </dataValidation>
    <dataValidation allowBlank="1" showInputMessage="1" prompt=" " sqref="F10" xr:uid="{EC72E13F-B69E-204A-BB92-A88B60F74708}"/>
    <dataValidation type="list" allowBlank="1" showInputMessage="1" showErrorMessage="1" promptTitle="Existing Database?" prompt="If YES, DB2 and CP4D requirements will not be included in the calculations for TRIRIGA.  If NO, both DB2 &amp; CP4D requirements will be included in the calculations." sqref="F7" xr:uid="{00D3C6B9-1D0E-43A6-B093-AF0A6B4E3EF5}">
      <formula1>$B$17:$B$18</formula1>
    </dataValidation>
    <dataValidation type="list" allowBlank="1" showInputMessage="1" showErrorMessage="1" promptTitle="Enforce Dev DB Size = Prod Size?" prompt="If YES, the DB Storage for Dev will be set to the Production Size._x000a_If NO, the DB Storage for Dev will be set to the minumum requirement." sqref="F12" xr:uid="{501E5A34-51ED-467C-A11E-0A8F4CEBBD86}">
      <formula1>$B$17:$B$18</formula1>
    </dataValidation>
    <dataValidation allowBlank="1" showErrorMessage="1" sqref="F8" xr:uid="{EC350FD4-17AE-4060-9FCA-9A15B4D606EB}"/>
    <dataValidation type="custom" allowBlank="1" showInputMessage="1" showErrorMessage="1" errorTitle="Must be at least 8 vCPUs" error="Must be at least 8 vCPUs per CPU socket. Please Update." sqref="O62" xr:uid="{495D2A0F-4E15-4537-B4EC-547417F8C772}">
      <formula1>O62&gt;=8</formula1>
    </dataValidation>
    <dataValidation type="custom" allowBlank="1" showInputMessage="1" showErrorMessage="1" errorTitle="Must be at least 8 vCPUs" error="Must be at least 8 vCPUs per CPU socket. Please update." sqref="O69 O76" xr:uid="{AF578568-E169-4A1C-A8C4-3911436354A3}">
      <formula1>O69&gt;=8</formula1>
    </dataValidation>
    <dataValidation type="whole" operator="greaterThanOrEqual" allowBlank="1" showInputMessage="1" showErrorMessage="1" errorTitle="Invalid Input" error="Must be a whole number equal to or greater than 0. " sqref="H30:J30" xr:uid="{1DA8421C-4ED9-5041-B8AA-057AAB6F5B3D}">
      <formula1>0</formula1>
    </dataValidation>
    <dataValidation type="whole" operator="greaterThanOrEqual" allowBlank="1" showInputMessage="1" showErrorMessage="1" errorTitle="Invalid input" error="Must be a whole number equal to or greater than 0. " promptTitle="Input Configure Users" prompt="Input the number of configure users" sqref="H16" xr:uid="{AEA615D4-7237-1248-8057-8DAE7407C276}">
      <formula1>0</formula1>
    </dataValidation>
    <dataValidation type="whole" allowBlank="1" showInputMessage="1" showErrorMessage="1" errorTitle="Document Storage Limit Exceeded" error="Do not specifcy more than 2000 GB (2TB)." promptTitle="Total Document Storage size" prompt="Enter the anticipated document storage.  Do not exceed 2 TB.  If you need more than that we recommend using an external document management system." sqref="H20" xr:uid="{291D7E80-2B6C-CF42-A118-BC2ECB6467EF}">
      <formula1>0</formula1>
      <formula2>2000</formula2>
    </dataValidation>
    <dataValidation type="whole" operator="greaterThanOrEqual" allowBlank="1" showInputMessage="1" showErrorMessage="1" promptTitle="Input Base Users" prompt="Input the number of base users" sqref="H17" xr:uid="{97F3FF1F-3F2A-4D4E-8858-CFB2DE61FEAF}">
      <formula1>0</formula1>
    </dataValidation>
    <dataValidation type="whole" operator="greaterThanOrEqual" allowBlank="1" showInputMessage="1" showErrorMessage="1" promptTitle="Input Limited Users" prompt="Input the number of limited users" sqref="H18" xr:uid="{C9F4247B-EA56-EF4B-9B32-00F9E7E95160}">
      <formula1>0</formula1>
    </dataValidation>
    <dataValidation allowBlank="1" showInputMessage="1" showErrorMessage="1" promptTitle="Input Self Service Users" prompt="input the number of self service users." sqref="H19" xr:uid="{2F024B5C-C268-E84F-AAD3-396B07F8BB2F}"/>
  </dataValidations>
  <pageMargins left="0.25" right="0.25" top="0.75" bottom="0.75" header="0.3" footer="0.3"/>
  <pageSetup scale="53" orientation="portrait" horizontalDpi="4294967293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7053-3E5F-5F44-BDFE-50539B896817}">
  <dimension ref="A1:Q55"/>
  <sheetViews>
    <sheetView topLeftCell="A10" zoomScale="160" zoomScaleNormal="160" workbookViewId="0">
      <selection activeCell="M21" sqref="M21"/>
    </sheetView>
  </sheetViews>
  <sheetFormatPr baseColWidth="10" defaultRowHeight="16" x14ac:dyDescent="0.2"/>
  <cols>
    <col min="1" max="1" width="44.33203125" customWidth="1"/>
    <col min="15" max="15" width="15" customWidth="1"/>
  </cols>
  <sheetData>
    <row r="1" spans="1:17" x14ac:dyDescent="0.2">
      <c r="E1" t="s">
        <v>64</v>
      </c>
      <c r="I1" s="133"/>
      <c r="J1" s="134" t="s">
        <v>65</v>
      </c>
      <c r="K1" s="135" t="s">
        <v>66</v>
      </c>
    </row>
    <row r="2" spans="1:17" x14ac:dyDescent="0.2">
      <c r="A2" t="s">
        <v>62</v>
      </c>
      <c r="C2">
        <f>'V9.1 Calculator'!H16+'V9.1 Calculator'!H17/3+'V9.1 Calculator'!H18/10+'V9.1 Calculator'!H19/100</f>
        <v>36</v>
      </c>
      <c r="E2">
        <f>IF($C$2&lt;=$J$2,0,IF($C$2&lt;=$J$3,1,IF($C$2&lt;=$J$4,2,3)))</f>
        <v>0</v>
      </c>
      <c r="I2" s="136" t="s">
        <v>67</v>
      </c>
      <c r="J2" s="137">
        <v>250</v>
      </c>
      <c r="K2" s="138">
        <v>300</v>
      </c>
    </row>
    <row r="3" spans="1:17" x14ac:dyDescent="0.2">
      <c r="A3" t="s">
        <v>63</v>
      </c>
      <c r="C3">
        <f>'V9.1 Calculator'!J16</f>
        <v>1000</v>
      </c>
      <c r="E3">
        <f>IF($C$3&lt;=$K$2,0,IF($C$3&lt;=$K$3,1,IF($C$3&lt;=$K$4,2,3)))</f>
        <v>1</v>
      </c>
      <c r="I3" s="136" t="s">
        <v>68</v>
      </c>
      <c r="J3" s="137">
        <v>500</v>
      </c>
      <c r="K3" s="138">
        <v>3000</v>
      </c>
    </row>
    <row r="4" spans="1:17" x14ac:dyDescent="0.2">
      <c r="I4" s="136" t="s">
        <v>69</v>
      </c>
      <c r="J4" s="137">
        <v>1500</v>
      </c>
      <c r="K4" s="138">
        <v>30000</v>
      </c>
    </row>
    <row r="5" spans="1:17" ht="17" thickBot="1" x14ac:dyDescent="0.25">
      <c r="A5" t="s">
        <v>71</v>
      </c>
      <c r="E5">
        <f>MAX($E$2,$E$3)</f>
        <v>1</v>
      </c>
      <c r="G5" t="str">
        <f ca="1">OFFSET($I$2,$E$5,0)</f>
        <v>Medium</v>
      </c>
      <c r="I5" s="139" t="s">
        <v>70</v>
      </c>
      <c r="J5" s="140"/>
      <c r="K5" s="141"/>
    </row>
    <row r="8" spans="1:17" x14ac:dyDescent="0.2">
      <c r="I8" s="163" t="s">
        <v>111</v>
      </c>
    </row>
    <row r="9" spans="1:17" x14ac:dyDescent="0.2">
      <c r="I9" t="s">
        <v>67</v>
      </c>
      <c r="J9">
        <v>10</v>
      </c>
    </row>
    <row r="10" spans="1:17" x14ac:dyDescent="0.2">
      <c r="I10" t="s">
        <v>68</v>
      </c>
      <c r="J10">
        <v>20</v>
      </c>
    </row>
    <row r="11" spans="1:17" x14ac:dyDescent="0.2">
      <c r="I11" t="s">
        <v>69</v>
      </c>
      <c r="J11">
        <v>50</v>
      </c>
    </row>
    <row r="16" spans="1:17" x14ac:dyDescent="0.2">
      <c r="A16" s="145"/>
      <c r="B16" s="145"/>
      <c r="C16" s="145"/>
      <c r="D16" s="145"/>
      <c r="E16" s="145"/>
      <c r="F16" s="145"/>
      <c r="G16" s="145"/>
      <c r="J16" s="37" t="s">
        <v>79</v>
      </c>
      <c r="Q16" t="s">
        <v>80</v>
      </c>
    </row>
    <row r="17" spans="1:15" x14ac:dyDescent="0.2">
      <c r="A17" s="145"/>
      <c r="B17" s="145"/>
      <c r="C17" s="145"/>
      <c r="D17" s="145"/>
      <c r="E17" s="145"/>
      <c r="F17" s="145"/>
      <c r="G17" s="145"/>
    </row>
    <row r="18" spans="1:15" x14ac:dyDescent="0.2">
      <c r="A18" s="145"/>
      <c r="B18" s="145"/>
      <c r="C18" s="145"/>
      <c r="D18" s="145"/>
      <c r="E18" s="145"/>
      <c r="F18" s="145"/>
      <c r="G18" s="145"/>
      <c r="I18" s="37" t="s">
        <v>73</v>
      </c>
      <c r="J18" s="37" t="s">
        <v>74</v>
      </c>
      <c r="K18" s="37" t="s">
        <v>7</v>
      </c>
      <c r="L18" s="37" t="s">
        <v>8</v>
      </c>
      <c r="M18" s="37" t="s">
        <v>20</v>
      </c>
      <c r="N18" s="37" t="s">
        <v>19</v>
      </c>
      <c r="O18" s="37" t="s">
        <v>78</v>
      </c>
    </row>
    <row r="19" spans="1:15" x14ac:dyDescent="0.2">
      <c r="A19" s="145"/>
      <c r="B19" s="145"/>
      <c r="C19" s="145"/>
      <c r="D19" s="145"/>
      <c r="E19" s="145"/>
      <c r="F19" s="145"/>
      <c r="G19" s="145"/>
      <c r="I19" t="s">
        <v>67</v>
      </c>
      <c r="J19">
        <f>SUM('MREF Pod Sizing'!D5:D9)</f>
        <v>17</v>
      </c>
      <c r="K19">
        <f>SUM('MREF Pod Sizing'!E5:E9)</f>
        <v>54</v>
      </c>
      <c r="L19">
        <f>IF('V9.1 Calculator'!F7="Y",SUM('MREF Pod Sizing'!F5:F7)+'V9.1 Calculator'!H20, SUM('MREF Pod Sizing'!F5:F9)+'V9.1 Calculator'!H20)</f>
        <v>270</v>
      </c>
      <c r="M19">
        <f>'MREF Pod Sizing'!F8 +'V9.1 Calculator'!H20</f>
        <v>220</v>
      </c>
      <c r="N19">
        <f>L19-M19</f>
        <v>50</v>
      </c>
      <c r="O19">
        <f>IF('V9.1 Calculator'!F7="Y",0,'Load Calculation'!M19)</f>
        <v>220</v>
      </c>
    </row>
    <row r="20" spans="1:15" x14ac:dyDescent="0.2">
      <c r="A20" s="145"/>
      <c r="B20" s="145"/>
      <c r="C20" s="145"/>
      <c r="D20" s="145"/>
      <c r="E20" s="145"/>
      <c r="F20" s="145"/>
      <c r="G20" s="145"/>
      <c r="H20">
        <f>SUM(F17:F20)</f>
        <v>0</v>
      </c>
      <c r="I20" t="s">
        <v>68</v>
      </c>
      <c r="J20">
        <f>SUM('MREF Pod Sizing'!D10:D17)</f>
        <v>31</v>
      </c>
      <c r="K20">
        <f>SUM('MREF Pod Sizing'!E10:E17)</f>
        <v>88</v>
      </c>
      <c r="L20">
        <f>IF('V9.1 Calculator'!F7="Y",SUM('MREF Pod Sizing'!F10:F15)+'V9.1 Calculator'!H20, SUM('MREF Pod Sizing'!F10:F17)+'V9.1 Calculator'!H20)</f>
        <v>780</v>
      </c>
      <c r="M20">
        <f>'MREF Pod Sizing'!F16 +'V9.1 Calculator'!H20</f>
        <v>700</v>
      </c>
      <c r="N20">
        <f>L20-M20</f>
        <v>80</v>
      </c>
      <c r="O20">
        <f>IF('V9.1 Calculator'!F7="Y",0,'Load Calculation'!M20)</f>
        <v>700</v>
      </c>
    </row>
    <row r="21" spans="1:15" x14ac:dyDescent="0.2">
      <c r="A21" s="145"/>
      <c r="B21" s="145"/>
      <c r="C21" s="145"/>
      <c r="D21" s="145"/>
      <c r="E21" s="145"/>
      <c r="F21" s="145"/>
      <c r="G21" s="145"/>
      <c r="I21" t="s">
        <v>69</v>
      </c>
      <c r="J21">
        <f>SUM('MREF Pod Sizing'!D18:D35)</f>
        <v>81</v>
      </c>
      <c r="K21">
        <f>SUM('MREF Pod Sizing'!E18:E35)</f>
        <v>228</v>
      </c>
      <c r="L21">
        <f>IF('V9.1 Calculator'!F7="Y",SUM('MREF Pod Sizing'!F18:F33)+'V9.1 Calculator'!H20, SUM('MREF Pod Sizing'!F18:F35)+'V9.1 Calculator'!H20)</f>
        <v>2380</v>
      </c>
      <c r="M21">
        <f>'MREF Pod Sizing'!F34 +'V9.1 Calculator'!H20</f>
        <v>2200</v>
      </c>
      <c r="N21">
        <f>L21-M21</f>
        <v>180</v>
      </c>
      <c r="O21">
        <f>IF('V9.1 Calculator'!F7="Y",0,'Load Calculation'!M21)</f>
        <v>2200</v>
      </c>
    </row>
    <row r="22" spans="1:15" x14ac:dyDescent="0.2">
      <c r="A22" s="145"/>
      <c r="B22" s="145"/>
      <c r="C22" s="145"/>
      <c r="D22" s="145"/>
      <c r="E22" s="145"/>
      <c r="F22" s="145"/>
      <c r="G22" s="145"/>
    </row>
    <row r="23" spans="1:15" x14ac:dyDescent="0.2">
      <c r="A23" s="145"/>
      <c r="B23" s="145"/>
      <c r="C23" s="145"/>
      <c r="D23" s="145"/>
      <c r="E23" s="145"/>
      <c r="F23" s="145"/>
      <c r="G23" s="145"/>
      <c r="I23" s="37"/>
      <c r="J23" s="37"/>
      <c r="K23" s="37"/>
    </row>
    <row r="24" spans="1:15" x14ac:dyDescent="0.2">
      <c r="A24" s="145"/>
      <c r="B24" s="145"/>
      <c r="C24" s="145"/>
      <c r="D24" s="145"/>
      <c r="E24" s="145"/>
      <c r="F24" s="145"/>
      <c r="G24" s="145"/>
    </row>
    <row r="25" spans="1:15" x14ac:dyDescent="0.2">
      <c r="A25" s="145"/>
      <c r="B25" s="145"/>
      <c r="C25" s="145"/>
      <c r="D25" s="145"/>
      <c r="E25" s="145"/>
      <c r="F25" s="145"/>
      <c r="G25" s="145"/>
    </row>
    <row r="26" spans="1:15" x14ac:dyDescent="0.2">
      <c r="A26" s="145"/>
      <c r="B26" s="145"/>
      <c r="C26" s="145"/>
      <c r="D26" s="145"/>
      <c r="E26" s="145"/>
      <c r="F26" s="145"/>
      <c r="G26" s="145"/>
    </row>
    <row r="27" spans="1:15" x14ac:dyDescent="0.2">
      <c r="A27" s="145"/>
      <c r="B27" s="145"/>
      <c r="C27" s="145"/>
      <c r="D27" s="145"/>
      <c r="E27" s="145"/>
      <c r="F27" s="145"/>
      <c r="G27" s="145"/>
    </row>
    <row r="28" spans="1:15" x14ac:dyDescent="0.2">
      <c r="A28" s="145"/>
      <c r="B28" s="145"/>
      <c r="C28" s="145"/>
      <c r="D28" s="145"/>
      <c r="E28" s="145"/>
      <c r="F28" s="145"/>
      <c r="G28" s="145"/>
    </row>
    <row r="29" spans="1:15" x14ac:dyDescent="0.2">
      <c r="A29" s="145"/>
      <c r="B29" s="145"/>
      <c r="C29" s="145"/>
      <c r="D29" s="145"/>
      <c r="E29" s="145"/>
      <c r="F29" s="145"/>
      <c r="G29" s="145"/>
    </row>
    <row r="30" spans="1:15" x14ac:dyDescent="0.2">
      <c r="A30" s="145"/>
      <c r="B30" s="145"/>
      <c r="C30" s="145"/>
      <c r="D30" s="145"/>
      <c r="E30" s="145"/>
      <c r="F30" s="145"/>
      <c r="G30" s="145"/>
      <c r="H30">
        <f>SUM(F26:F30)</f>
        <v>0</v>
      </c>
      <c r="J30" s="37" t="s">
        <v>81</v>
      </c>
    </row>
    <row r="31" spans="1:15" x14ac:dyDescent="0.2">
      <c r="A31" s="145" t="s">
        <v>144</v>
      </c>
      <c r="B31" s="145"/>
      <c r="C31" s="145"/>
      <c r="D31" s="145"/>
      <c r="E31" s="145"/>
      <c r="F31" s="145"/>
      <c r="G31" s="145"/>
    </row>
    <row r="32" spans="1:15" x14ac:dyDescent="0.2">
      <c r="A32" s="145"/>
      <c r="B32" s="145"/>
      <c r="C32" s="145"/>
      <c r="D32" s="145"/>
      <c r="E32" s="145"/>
      <c r="F32" s="145"/>
      <c r="G32" s="145"/>
      <c r="J32" s="37" t="s">
        <v>74</v>
      </c>
      <c r="K32" s="37" t="s">
        <v>7</v>
      </c>
      <c r="L32" s="37" t="s">
        <v>8</v>
      </c>
      <c r="M32" s="37" t="s">
        <v>20</v>
      </c>
      <c r="N32" s="37" t="s">
        <v>19</v>
      </c>
      <c r="O32" s="37" t="s">
        <v>78</v>
      </c>
    </row>
    <row r="33" spans="1:15" x14ac:dyDescent="0.2">
      <c r="A33" s="145"/>
      <c r="B33" s="145"/>
      <c r="C33" s="145"/>
      <c r="D33" s="145"/>
      <c r="E33" s="145"/>
      <c r="F33" s="145"/>
      <c r="G33" s="145"/>
      <c r="J33">
        <f t="shared" ref="J33:O33" si="0">J19</f>
        <v>17</v>
      </c>
      <c r="K33">
        <f t="shared" si="0"/>
        <v>54</v>
      </c>
      <c r="L33">
        <f t="shared" si="0"/>
        <v>270</v>
      </c>
      <c r="M33">
        <f t="shared" si="0"/>
        <v>220</v>
      </c>
      <c r="N33">
        <f t="shared" si="0"/>
        <v>50</v>
      </c>
      <c r="O33">
        <f t="shared" si="0"/>
        <v>220</v>
      </c>
    </row>
    <row r="34" spans="1:15" x14ac:dyDescent="0.2">
      <c r="A34" s="145"/>
      <c r="B34" s="145"/>
      <c r="C34" s="145"/>
      <c r="D34" s="145"/>
      <c r="E34" s="145"/>
      <c r="F34" s="145"/>
      <c r="G34" s="145"/>
    </row>
    <row r="35" spans="1:15" x14ac:dyDescent="0.2">
      <c r="A35" s="145"/>
      <c r="B35" s="145"/>
      <c r="C35" s="145"/>
      <c r="D35" s="145"/>
      <c r="E35" s="145"/>
      <c r="F35" s="145"/>
      <c r="G35" s="145"/>
    </row>
    <row r="36" spans="1:15" x14ac:dyDescent="0.2">
      <c r="A36" s="145"/>
      <c r="B36" s="145"/>
      <c r="C36" s="145"/>
      <c r="D36" s="145"/>
      <c r="E36" s="145"/>
      <c r="F36" s="145"/>
      <c r="G36" s="145"/>
    </row>
    <row r="37" spans="1:15" x14ac:dyDescent="0.2">
      <c r="A37" s="145"/>
      <c r="B37" s="145"/>
      <c r="C37" s="145"/>
      <c r="D37" s="145"/>
      <c r="E37" s="145"/>
      <c r="F37" s="145"/>
      <c r="G37" s="145"/>
    </row>
    <row r="38" spans="1:15" x14ac:dyDescent="0.2">
      <c r="A38" s="145"/>
      <c r="B38" s="145"/>
      <c r="C38" s="145"/>
      <c r="D38" s="145"/>
      <c r="E38" s="145"/>
      <c r="F38" s="145"/>
      <c r="G38" s="145"/>
    </row>
    <row r="39" spans="1:15" x14ac:dyDescent="0.2">
      <c r="A39" s="145"/>
      <c r="B39" s="145"/>
      <c r="C39" s="145"/>
      <c r="D39" s="145"/>
      <c r="E39" s="145"/>
      <c r="F39" s="145"/>
      <c r="G39" s="145"/>
    </row>
    <row r="40" spans="1:15" x14ac:dyDescent="0.2">
      <c r="A40" s="145"/>
      <c r="B40" s="145"/>
      <c r="C40" s="145"/>
      <c r="D40" s="145"/>
      <c r="E40" s="145"/>
      <c r="F40" s="145"/>
      <c r="G40" s="145"/>
    </row>
    <row r="41" spans="1:15" x14ac:dyDescent="0.2">
      <c r="A41" s="145"/>
      <c r="B41" s="145"/>
      <c r="C41" s="145"/>
      <c r="D41" s="145"/>
      <c r="E41" s="145"/>
      <c r="F41" s="145"/>
      <c r="G41" s="145"/>
    </row>
    <row r="42" spans="1:15" x14ac:dyDescent="0.2">
      <c r="A42" s="145"/>
      <c r="B42" s="145"/>
      <c r="C42" s="145"/>
      <c r="D42" s="145"/>
      <c r="E42" s="145"/>
      <c r="F42" s="145"/>
      <c r="G42" s="145"/>
    </row>
    <row r="43" spans="1:15" x14ac:dyDescent="0.2">
      <c r="A43" s="145"/>
      <c r="B43" s="145"/>
      <c r="C43" s="145"/>
      <c r="D43" s="145"/>
      <c r="E43" s="145"/>
      <c r="F43" s="145"/>
      <c r="G43" s="145"/>
      <c r="K43" s="142"/>
    </row>
    <row r="44" spans="1:15" x14ac:dyDescent="0.2">
      <c r="A44" s="145"/>
      <c r="B44" s="145"/>
      <c r="C44" s="145"/>
      <c r="D44" s="145"/>
      <c r="E44" s="145"/>
      <c r="F44" s="145"/>
      <c r="G44" s="145"/>
      <c r="H44">
        <f>SUM(F36:F44)</f>
        <v>0</v>
      </c>
      <c r="K44" s="142"/>
    </row>
    <row r="45" spans="1:15" x14ac:dyDescent="0.2">
      <c r="A45" s="145"/>
      <c r="B45" s="145"/>
      <c r="C45" s="145"/>
      <c r="D45" s="145"/>
      <c r="E45" s="145"/>
      <c r="F45" s="145"/>
      <c r="G45" s="145"/>
      <c r="K45" s="142"/>
    </row>
    <row r="46" spans="1:15" x14ac:dyDescent="0.2">
      <c r="A46" s="145"/>
      <c r="B46" s="145"/>
      <c r="C46" s="145"/>
      <c r="D46" s="145"/>
      <c r="E46" s="145"/>
      <c r="F46" s="145"/>
      <c r="G46" s="145"/>
      <c r="K46" s="142"/>
    </row>
    <row r="47" spans="1:15" x14ac:dyDescent="0.2">
      <c r="A47" s="145"/>
      <c r="B47" s="145"/>
      <c r="C47" s="145"/>
      <c r="D47" s="145"/>
      <c r="E47" s="145"/>
      <c r="F47" s="145"/>
      <c r="G47" s="145"/>
      <c r="K47" s="142"/>
    </row>
    <row r="48" spans="1:15" x14ac:dyDescent="0.2">
      <c r="A48" s="145"/>
      <c r="B48" s="145"/>
      <c r="C48" s="145"/>
      <c r="D48" s="145"/>
      <c r="E48" s="145"/>
      <c r="F48" s="145"/>
      <c r="G48" s="145"/>
      <c r="K48" s="142"/>
    </row>
    <row r="49" spans="1:11" x14ac:dyDescent="0.2">
      <c r="A49" s="145"/>
      <c r="B49" s="145"/>
      <c r="C49" s="145"/>
      <c r="D49" s="145"/>
      <c r="E49" s="145"/>
      <c r="F49" s="145"/>
      <c r="G49" s="145"/>
      <c r="K49" s="142"/>
    </row>
    <row r="52" spans="1:11" x14ac:dyDescent="0.2">
      <c r="A52" t="s">
        <v>75</v>
      </c>
      <c r="E52">
        <v>48</v>
      </c>
      <c r="F52">
        <v>12</v>
      </c>
      <c r="G52">
        <v>360</v>
      </c>
    </row>
    <row r="55" spans="1:11" x14ac:dyDescent="0.2">
      <c r="A55" t="s">
        <v>76</v>
      </c>
      <c r="E55">
        <f>IF('V9.1 Calculator'!$F$6="Y"," ",$E$52)</f>
        <v>48</v>
      </c>
      <c r="F55">
        <f>IF('V9.1 Calculator'!$F$6="Y"," ",$F$52)</f>
        <v>12</v>
      </c>
      <c r="G55">
        <f>IF('V9.1 Calculator'!$F$6="Y"," ",$G$52)</f>
        <v>360</v>
      </c>
    </row>
  </sheetData>
  <sheetProtection algorithmName="SHA-512" hashValue="cmdHvVm2F+ribywbPkazTShyNuyWFWLRltz1iJFZRAM/4Ko/6hzB2olzdvR7LXcpRBDkKzQ4pOjrWrOgLZzzkw==" saltValue="4aVZwS9Mi17ugFIppzbqFQ==" spinCount="100000" sheet="1" objects="1" scenarios="1"/>
  <pageMargins left="0.7" right="0.7" top="0.75" bottom="0.75" header="0.3" footer="0.3"/>
  <pageSetup paperSize="9" orientation="portrait" horizontalDpi="0" verticalDpi="0"/>
  <ignoredErrors>
    <ignoredError sqref="K19:K21 J19:J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88B7-4D05-2740-8922-1AF955937F17}">
  <dimension ref="B2:F35"/>
  <sheetViews>
    <sheetView zoomScale="180" zoomScaleNormal="180" workbookViewId="0">
      <selection activeCell="D16" sqref="D16:E16"/>
    </sheetView>
  </sheetViews>
  <sheetFormatPr baseColWidth="10" defaultRowHeight="16" x14ac:dyDescent="0.2"/>
  <cols>
    <col min="1" max="1" width="3.5" customWidth="1"/>
    <col min="3" max="3" width="33.6640625" customWidth="1"/>
  </cols>
  <sheetData>
    <row r="2" spans="2:6" x14ac:dyDescent="0.2">
      <c r="B2" s="166" t="s">
        <v>143</v>
      </c>
    </row>
    <row r="4" spans="2:6" x14ac:dyDescent="0.2">
      <c r="B4" s="167" t="s">
        <v>72</v>
      </c>
      <c r="C4" s="167" t="s">
        <v>94</v>
      </c>
      <c r="D4" s="167" t="s">
        <v>95</v>
      </c>
      <c r="E4" s="167" t="s">
        <v>96</v>
      </c>
      <c r="F4" s="167" t="s">
        <v>97</v>
      </c>
    </row>
    <row r="5" spans="2:6" x14ac:dyDescent="0.2">
      <c r="B5" s="168" t="s">
        <v>67</v>
      </c>
      <c r="C5" s="168" t="s">
        <v>92</v>
      </c>
      <c r="D5" s="171">
        <v>2</v>
      </c>
      <c r="E5" s="171">
        <v>6</v>
      </c>
      <c r="F5" s="171">
        <v>10</v>
      </c>
    </row>
    <row r="6" spans="2:6" x14ac:dyDescent="0.2">
      <c r="B6" s="168" t="s">
        <v>67</v>
      </c>
      <c r="C6" s="168" t="s">
        <v>92</v>
      </c>
      <c r="D6" s="171">
        <v>2</v>
      </c>
      <c r="E6" s="171">
        <v>6</v>
      </c>
      <c r="F6" s="171">
        <v>10</v>
      </c>
    </row>
    <row r="7" spans="2:6" x14ac:dyDescent="0.2">
      <c r="B7" s="168" t="s">
        <v>67</v>
      </c>
      <c r="C7" s="168" t="s">
        <v>93</v>
      </c>
      <c r="D7" s="171">
        <v>2</v>
      </c>
      <c r="E7" s="171">
        <v>6</v>
      </c>
      <c r="F7" s="171">
        <v>10</v>
      </c>
    </row>
    <row r="8" spans="2:6" x14ac:dyDescent="0.2">
      <c r="B8" s="168" t="s">
        <v>67</v>
      </c>
      <c r="C8" s="168" t="s">
        <v>98</v>
      </c>
      <c r="D8" s="171">
        <v>8</v>
      </c>
      <c r="E8" s="171">
        <v>32</v>
      </c>
      <c r="F8" s="171">
        <v>20</v>
      </c>
    </row>
    <row r="9" spans="2:6" x14ac:dyDescent="0.2">
      <c r="B9" s="168" t="s">
        <v>67</v>
      </c>
      <c r="C9" s="168" t="s">
        <v>86</v>
      </c>
      <c r="D9" s="171">
        <v>3</v>
      </c>
      <c r="E9" s="171">
        <v>4</v>
      </c>
      <c r="F9" s="171">
        <v>20</v>
      </c>
    </row>
    <row r="10" spans="2:6" x14ac:dyDescent="0.2">
      <c r="B10" s="169" t="s">
        <v>68</v>
      </c>
      <c r="C10" s="169" t="s">
        <v>92</v>
      </c>
      <c r="D10" s="172">
        <v>2</v>
      </c>
      <c r="E10" s="172">
        <v>6</v>
      </c>
      <c r="F10" s="172">
        <v>10</v>
      </c>
    </row>
    <row r="11" spans="2:6" x14ac:dyDescent="0.2">
      <c r="B11" s="169" t="s">
        <v>68</v>
      </c>
      <c r="C11" s="169" t="s">
        <v>92</v>
      </c>
      <c r="D11" s="172">
        <v>2</v>
      </c>
      <c r="E11" s="172">
        <v>6</v>
      </c>
      <c r="F11" s="172">
        <v>10</v>
      </c>
    </row>
    <row r="12" spans="2:6" x14ac:dyDescent="0.2">
      <c r="B12" s="169" t="s">
        <v>68</v>
      </c>
      <c r="C12" s="169" t="s">
        <v>92</v>
      </c>
      <c r="D12" s="172">
        <v>2</v>
      </c>
      <c r="E12" s="172">
        <v>6</v>
      </c>
      <c r="F12" s="172">
        <v>10</v>
      </c>
    </row>
    <row r="13" spans="2:6" x14ac:dyDescent="0.2">
      <c r="B13" s="169" t="s">
        <v>68</v>
      </c>
      <c r="C13" s="169" t="s">
        <v>99</v>
      </c>
      <c r="D13" s="172">
        <v>4</v>
      </c>
      <c r="E13" s="172">
        <v>6</v>
      </c>
      <c r="F13" s="172">
        <v>10</v>
      </c>
    </row>
    <row r="14" spans="2:6" x14ac:dyDescent="0.2">
      <c r="B14" s="169" t="s">
        <v>68</v>
      </c>
      <c r="C14" s="169" t="s">
        <v>100</v>
      </c>
      <c r="D14" s="172">
        <v>4</v>
      </c>
      <c r="E14" s="172">
        <v>6</v>
      </c>
      <c r="F14" s="172">
        <v>10</v>
      </c>
    </row>
    <row r="15" spans="2:6" x14ac:dyDescent="0.2">
      <c r="B15" s="169" t="s">
        <v>68</v>
      </c>
      <c r="C15" s="169" t="s">
        <v>93</v>
      </c>
      <c r="D15" s="172">
        <v>2</v>
      </c>
      <c r="E15" s="172">
        <v>6</v>
      </c>
      <c r="F15" s="172">
        <v>10</v>
      </c>
    </row>
    <row r="16" spans="2:6" x14ac:dyDescent="0.2">
      <c r="B16" s="169" t="s">
        <v>68</v>
      </c>
      <c r="C16" s="169" t="s">
        <v>98</v>
      </c>
      <c r="D16" s="172">
        <v>12</v>
      </c>
      <c r="E16" s="172">
        <v>48</v>
      </c>
      <c r="F16" s="172">
        <v>500</v>
      </c>
    </row>
    <row r="17" spans="2:6" x14ac:dyDescent="0.2">
      <c r="B17" s="169" t="s">
        <v>68</v>
      </c>
      <c r="C17" s="169" t="s">
        <v>86</v>
      </c>
      <c r="D17" s="172">
        <v>3</v>
      </c>
      <c r="E17" s="172">
        <v>4</v>
      </c>
      <c r="F17" s="172">
        <v>20</v>
      </c>
    </row>
    <row r="18" spans="2:6" x14ac:dyDescent="0.2">
      <c r="B18" s="170" t="s">
        <v>69</v>
      </c>
      <c r="C18" s="170" t="s">
        <v>92</v>
      </c>
      <c r="D18" s="173">
        <v>2</v>
      </c>
      <c r="E18" s="173">
        <v>6</v>
      </c>
      <c r="F18" s="173">
        <v>10</v>
      </c>
    </row>
    <row r="19" spans="2:6" x14ac:dyDescent="0.2">
      <c r="B19" s="170" t="s">
        <v>69</v>
      </c>
      <c r="C19" s="170" t="s">
        <v>92</v>
      </c>
      <c r="D19" s="173">
        <v>2</v>
      </c>
      <c r="E19" s="173">
        <v>6</v>
      </c>
      <c r="F19" s="173">
        <v>10</v>
      </c>
    </row>
    <row r="20" spans="2:6" x14ac:dyDescent="0.2">
      <c r="B20" s="170" t="s">
        <v>69</v>
      </c>
      <c r="C20" s="170" t="s">
        <v>92</v>
      </c>
      <c r="D20" s="173">
        <v>2</v>
      </c>
      <c r="E20" s="173">
        <v>6</v>
      </c>
      <c r="F20" s="173">
        <v>10</v>
      </c>
    </row>
    <row r="21" spans="2:6" x14ac:dyDescent="0.2">
      <c r="B21" s="170" t="s">
        <v>69</v>
      </c>
      <c r="C21" s="170" t="s">
        <v>92</v>
      </c>
      <c r="D21" s="173">
        <v>2</v>
      </c>
      <c r="E21" s="173">
        <v>6</v>
      </c>
      <c r="F21" s="173">
        <v>10</v>
      </c>
    </row>
    <row r="22" spans="2:6" x14ac:dyDescent="0.2">
      <c r="B22" s="170" t="s">
        <v>69</v>
      </c>
      <c r="C22" s="170" t="s">
        <v>99</v>
      </c>
      <c r="D22" s="173">
        <v>6</v>
      </c>
      <c r="E22" s="173">
        <v>6</v>
      </c>
      <c r="F22" s="173">
        <v>10</v>
      </c>
    </row>
    <row r="23" spans="2:6" x14ac:dyDescent="0.2">
      <c r="B23" s="170" t="s">
        <v>69</v>
      </c>
      <c r="C23" s="170" t="s">
        <v>101</v>
      </c>
      <c r="D23" s="173">
        <v>4</v>
      </c>
      <c r="E23" s="173">
        <v>6</v>
      </c>
      <c r="F23" s="173">
        <v>10</v>
      </c>
    </row>
    <row r="24" spans="2:6" x14ac:dyDescent="0.2">
      <c r="B24" s="170" t="s">
        <v>69</v>
      </c>
      <c r="C24" s="170" t="s">
        <v>102</v>
      </c>
      <c r="D24" s="173">
        <v>4</v>
      </c>
      <c r="E24" s="173">
        <v>6</v>
      </c>
      <c r="F24" s="173">
        <v>10</v>
      </c>
    </row>
    <row r="25" spans="2:6" x14ac:dyDescent="0.2">
      <c r="B25" s="170" t="s">
        <v>69</v>
      </c>
      <c r="C25" s="170" t="s">
        <v>103</v>
      </c>
      <c r="D25" s="173">
        <v>4</v>
      </c>
      <c r="E25" s="173">
        <v>6</v>
      </c>
      <c r="F25" s="173">
        <v>10</v>
      </c>
    </row>
    <row r="26" spans="2:6" x14ac:dyDescent="0.2">
      <c r="B26" s="170" t="s">
        <v>69</v>
      </c>
      <c r="C26" s="170" t="s">
        <v>104</v>
      </c>
      <c r="D26" s="173">
        <v>4</v>
      </c>
      <c r="E26" s="173">
        <v>6</v>
      </c>
      <c r="F26" s="173">
        <v>10</v>
      </c>
    </row>
    <row r="27" spans="2:6" x14ac:dyDescent="0.2">
      <c r="B27" s="170" t="s">
        <v>69</v>
      </c>
      <c r="C27" s="170" t="s">
        <v>105</v>
      </c>
      <c r="D27" s="173">
        <v>2</v>
      </c>
      <c r="E27" s="173">
        <v>6</v>
      </c>
      <c r="F27" s="173">
        <v>10</v>
      </c>
    </row>
    <row r="28" spans="2:6" x14ac:dyDescent="0.2">
      <c r="B28" s="170" t="s">
        <v>69</v>
      </c>
      <c r="C28" s="170" t="s">
        <v>106</v>
      </c>
      <c r="D28" s="173">
        <v>2</v>
      </c>
      <c r="E28" s="173">
        <v>6</v>
      </c>
      <c r="F28" s="173">
        <v>10</v>
      </c>
    </row>
    <row r="29" spans="2:6" x14ac:dyDescent="0.2">
      <c r="B29" s="170" t="s">
        <v>69</v>
      </c>
      <c r="C29" s="170" t="s">
        <v>107</v>
      </c>
      <c r="D29" s="173">
        <v>4</v>
      </c>
      <c r="E29" s="173">
        <v>6</v>
      </c>
      <c r="F29" s="173">
        <v>10</v>
      </c>
    </row>
    <row r="30" spans="2:6" x14ac:dyDescent="0.2">
      <c r="B30" s="170" t="s">
        <v>69</v>
      </c>
      <c r="C30" s="170" t="s">
        <v>100</v>
      </c>
      <c r="D30" s="173">
        <v>6</v>
      </c>
      <c r="E30" s="173">
        <v>6</v>
      </c>
      <c r="F30" s="173">
        <v>10</v>
      </c>
    </row>
    <row r="31" spans="2:6" x14ac:dyDescent="0.2">
      <c r="B31" s="170" t="s">
        <v>69</v>
      </c>
      <c r="C31" s="170" t="s">
        <v>108</v>
      </c>
      <c r="D31" s="173">
        <v>4</v>
      </c>
      <c r="E31" s="173">
        <v>6</v>
      </c>
      <c r="F31" s="173">
        <v>10</v>
      </c>
    </row>
    <row r="32" spans="2:6" x14ac:dyDescent="0.2">
      <c r="B32" s="170" t="s">
        <v>69</v>
      </c>
      <c r="C32" s="170" t="s">
        <v>109</v>
      </c>
      <c r="D32" s="173">
        <v>4</v>
      </c>
      <c r="E32" s="173">
        <v>6</v>
      </c>
      <c r="F32" s="173">
        <v>10</v>
      </c>
    </row>
    <row r="33" spans="2:6" x14ac:dyDescent="0.2">
      <c r="B33" s="170" t="s">
        <v>69</v>
      </c>
      <c r="C33" s="170" t="s">
        <v>110</v>
      </c>
      <c r="D33" s="173">
        <v>2</v>
      </c>
      <c r="E33" s="173">
        <v>6</v>
      </c>
      <c r="F33" s="173">
        <v>10</v>
      </c>
    </row>
    <row r="34" spans="2:6" x14ac:dyDescent="0.2">
      <c r="B34" s="170" t="s">
        <v>69</v>
      </c>
      <c r="C34" s="170" t="s">
        <v>98</v>
      </c>
      <c r="D34" s="173">
        <v>24</v>
      </c>
      <c r="E34" s="173">
        <v>128</v>
      </c>
      <c r="F34" s="173">
        <v>2000</v>
      </c>
    </row>
    <row r="35" spans="2:6" x14ac:dyDescent="0.2">
      <c r="B35" s="170" t="s">
        <v>69</v>
      </c>
      <c r="C35" s="170" t="s">
        <v>86</v>
      </c>
      <c r="D35" s="173">
        <v>3</v>
      </c>
      <c r="E35" s="173">
        <v>4</v>
      </c>
      <c r="F35" s="173">
        <v>20</v>
      </c>
    </row>
  </sheetData>
  <sheetProtection algorithmName="SHA-512" hashValue="y/VwWwxAGxbFVSN3O1Jab2VuzQ5+PR0BuAfSL1xRjR0pq9kuzFZL7a0ZOkGfDesNfxiTFu2jM6vOM8AsnU1BIw==" saltValue="vw9OB3Sf9QO0eqK0VZ/Oq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55D5-B7BA-4661-A84E-93B4BDFEBFD1}">
  <dimension ref="C1:D25"/>
  <sheetViews>
    <sheetView showGridLines="0" showRowColHeaders="0" workbookViewId="0">
      <selection activeCell="E30" sqref="E30"/>
    </sheetView>
  </sheetViews>
  <sheetFormatPr baseColWidth="10" defaultColWidth="8.83203125" defaultRowHeight="16" x14ac:dyDescent="0.2"/>
  <cols>
    <col min="1" max="2" width="3.5" customWidth="1"/>
    <col min="3" max="3" width="9.1640625" customWidth="1"/>
    <col min="4" max="4" width="82.6640625" customWidth="1"/>
  </cols>
  <sheetData>
    <row r="1" spans="3:4" ht="18" thickBot="1" x14ac:dyDescent="0.25">
      <c r="C1" s="14" t="s">
        <v>14</v>
      </c>
      <c r="D1" s="15" t="s">
        <v>15</v>
      </c>
    </row>
    <row r="2" spans="3:4" ht="17" x14ac:dyDescent="0.2">
      <c r="C2" s="16" t="s">
        <v>56</v>
      </c>
      <c r="D2" s="17" t="s">
        <v>49</v>
      </c>
    </row>
    <row r="3" spans="3:4" ht="17" x14ac:dyDescent="0.2">
      <c r="C3" s="8" t="s">
        <v>87</v>
      </c>
      <c r="D3" s="18" t="s">
        <v>88</v>
      </c>
    </row>
    <row r="4" spans="3:4" ht="17" x14ac:dyDescent="0.2">
      <c r="C4" s="8" t="s">
        <v>89</v>
      </c>
      <c r="D4" s="18" t="s">
        <v>90</v>
      </c>
    </row>
    <row r="5" spans="3:4" ht="18" thickBot="1" x14ac:dyDescent="0.25">
      <c r="C5" s="8" t="s">
        <v>129</v>
      </c>
      <c r="D5" s="18" t="s">
        <v>128</v>
      </c>
    </row>
    <row r="6" spans="3:4" ht="17" thickBot="1" x14ac:dyDescent="0.25">
      <c r="C6" s="14"/>
      <c r="D6" s="15"/>
    </row>
    <row r="7" spans="3:4" ht="17" x14ac:dyDescent="0.2">
      <c r="C7" s="16" t="s">
        <v>129</v>
      </c>
      <c r="D7" s="18" t="s">
        <v>130</v>
      </c>
    </row>
    <row r="8" spans="3:4" x14ac:dyDescent="0.2">
      <c r="C8" s="8"/>
      <c r="D8" s="18"/>
    </row>
    <row r="9" spans="3:4" x14ac:dyDescent="0.2">
      <c r="C9" s="8"/>
      <c r="D9" s="18"/>
    </row>
    <row r="10" spans="3:4" x14ac:dyDescent="0.2">
      <c r="C10" s="8"/>
      <c r="D10" s="18"/>
    </row>
    <row r="11" spans="3:4" ht="17" thickBot="1" x14ac:dyDescent="0.25">
      <c r="C11" s="39"/>
      <c r="D11" s="19"/>
    </row>
    <row r="12" spans="3:4" ht="17" thickBot="1" x14ac:dyDescent="0.25">
      <c r="C12" s="14"/>
      <c r="D12" s="15"/>
    </row>
    <row r="13" spans="3:4" x14ac:dyDescent="0.2">
      <c r="C13" s="16"/>
      <c r="D13" s="40"/>
    </row>
    <row r="14" spans="3:4" x14ac:dyDescent="0.2">
      <c r="C14" s="39"/>
      <c r="D14" s="40"/>
    </row>
    <row r="15" spans="3:4" x14ac:dyDescent="0.2">
      <c r="C15" s="39"/>
      <c r="D15" s="40"/>
    </row>
    <row r="16" spans="3:4" x14ac:dyDescent="0.2">
      <c r="C16" s="39"/>
      <c r="D16" s="40"/>
    </row>
    <row r="17" spans="3:4" x14ac:dyDescent="0.2">
      <c r="C17" s="39"/>
      <c r="D17" s="40"/>
    </row>
    <row r="18" spans="3:4" x14ac:dyDescent="0.2">
      <c r="C18" s="39"/>
      <c r="D18" s="40"/>
    </row>
    <row r="19" spans="3:4" x14ac:dyDescent="0.2">
      <c r="C19" s="39"/>
      <c r="D19" s="40"/>
    </row>
    <row r="20" spans="3:4" x14ac:dyDescent="0.2">
      <c r="C20" s="39"/>
      <c r="D20" s="40"/>
    </row>
    <row r="21" spans="3:4" x14ac:dyDescent="0.2">
      <c r="C21" s="39"/>
      <c r="D21" s="40"/>
    </row>
    <row r="22" spans="3:4" x14ac:dyDescent="0.2">
      <c r="C22" s="39"/>
      <c r="D22" s="40"/>
    </row>
    <row r="23" spans="3:4" x14ac:dyDescent="0.2">
      <c r="C23" s="39"/>
      <c r="D23" s="40"/>
    </row>
    <row r="24" spans="3:4" x14ac:dyDescent="0.2">
      <c r="C24" s="39"/>
      <c r="D24" s="40"/>
    </row>
    <row r="25" spans="3:4" ht="17" thickBot="1" x14ac:dyDescent="0.25">
      <c r="C25" s="9"/>
      <c r="D25" s="19"/>
    </row>
  </sheetData>
  <sheetProtection algorithmName="SHA-512" hashValue="3gm9N6RKfy78zjAv0S++E/aLhFWeApRZ/K2kWG8wbDbUj+xVBpTBZ8PyY+62wHU80FAuBvt0xil76V4c3LL1gg==" saltValue="+kTwtZmQr/nePjgCTMqyeA==" spinCount="100000" sheet="1" objects="1" scenarios="1"/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Guidance</vt:lpstr>
      <vt:lpstr>V9.1 Calculator</vt:lpstr>
      <vt:lpstr>Load Calculation</vt:lpstr>
      <vt:lpstr>MREF Pod Sizing</vt:lpstr>
      <vt:lpstr>Versions</vt:lpstr>
      <vt:lpstr>EnvironmentSizes</vt:lpstr>
      <vt:lpstr>'V9.1 Calculator'!Print_Area</vt:lpstr>
      <vt:lpstr>Versions!Print_Area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Campbell</dc:creator>
  <cp:lastModifiedBy>Andy Barnes</cp:lastModifiedBy>
  <cp:lastPrinted>2022-09-27T05:38:43Z</cp:lastPrinted>
  <dcterms:created xsi:type="dcterms:W3CDTF">2020-08-11T06:33:57Z</dcterms:created>
  <dcterms:modified xsi:type="dcterms:W3CDTF">2025-08-21T13:57:34Z</dcterms:modified>
</cp:coreProperties>
</file>